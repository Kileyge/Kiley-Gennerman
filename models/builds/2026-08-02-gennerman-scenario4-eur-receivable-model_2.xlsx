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kileygennerman/Downloads/"/>
    </mc:Choice>
  </mc:AlternateContent>
  <xr:revisionPtr revIDLastSave="0" documentId="8_{1669F20B-BDF1-2C4E-997A-BC91C8412C76}" xr6:coauthVersionLast="47" xr6:coauthVersionMax="47" xr10:uidLastSave="{00000000-0000-0000-0000-000000000000}"/>
  <bookViews>
    <workbookView xWindow="0" yWindow="740" windowWidth="16380" windowHeight="8200" tabRatio="500" firstSheet="2" activeTab="8" xr2:uid="{00000000-000D-0000-FFFF-FFFF00000000}"/>
  </bookViews>
  <sheets>
    <sheet name="Cover" sheetId="1" r:id="rId1"/>
    <sheet name="Legend-Key" sheetId="2" r:id="rId2"/>
    <sheet name="Inputs" sheetId="3" r:id="rId3"/>
    <sheet name="Forward" sheetId="4" r:id="rId4"/>
    <sheet name="Money Market" sheetId="5" r:id="rId5"/>
    <sheet name="Options" sheetId="6" r:id="rId6"/>
    <sheet name="Sensitivity" sheetId="7" r:id="rId7"/>
    <sheet name="Checks" sheetId="8" r:id="rId8"/>
    <sheet name="Audit Summary" sheetId="9" r:id="rId9"/>
    <sheet name="Notes &amp; Assumptions" sheetId="10" r:id="rId10"/>
  </sheets>
  <definedNames>
    <definedName name="BASIS_FC">Inputs!$B$21</definedName>
    <definedName name="BASIS_USD">Inputs!$B$20</definedName>
    <definedName name="DF_FC">'Money Market'!$B$7</definedName>
    <definedName name="DF_USD">'Money Market'!$B$6</definedName>
    <definedName name="EUR_BORROW">'Money Market'!$B$8</definedName>
    <definedName name="F0_in">Inputs!$B$8</definedName>
    <definedName name="FC_AMT">Inputs!$B$6</definedName>
    <definedName name="FV_PREMIUM_CALL">Options!$B$14</definedName>
    <definedName name="FV_PREMIUM_PUT">Options!$B$8</definedName>
    <definedName name="GRID_MIN">Inputs!$B$23</definedName>
    <definedName name="K_CALL">Inputs!$B$12</definedName>
    <definedName name="K_PUT">Inputs!$B$11</definedName>
    <definedName name="PARITY_CHECK">'Money Market'!$B$14</definedName>
    <definedName name="PARITY_GAP">'Money Market'!$B$12</definedName>
    <definedName name="PARITY_TOL">'Money Market'!$B$13</definedName>
    <definedName name="PREM_CALL">Inputs!$B$14</definedName>
    <definedName name="PREM_PUT">Inputs!$B$13</definedName>
    <definedName name="PREMIUM_TOTAL_CALL">Options!$B$13</definedName>
    <definedName name="PREMIUM_TOTAL_PUT">Options!$B$7</definedName>
    <definedName name="PUT_PAYOFF">Options!$B$9</definedName>
    <definedName name="R_FC">Inputs!$B$10</definedName>
    <definedName name="R_USD">Inputs!$B$9</definedName>
    <definedName name="S_T_BASE">Options!$B$6</definedName>
    <definedName name="S0_in">Inputs!$B$7</definedName>
    <definedName name="STEP_FRAC">Inputs!$B$22</definedName>
    <definedName name="T_DAYS">Inputs!$B$15</definedName>
    <definedName name="USD_FWD">Forward!$B$9</definedName>
    <definedName name="USD_MM">'Money Market'!$B$10</definedName>
    <definedName name="USD_NO_HEDGE_BASE">Sensitivity!$B$6</definedName>
    <definedName name="USD_PUT_BASE">Options!$B$10</definedName>
    <definedName name="USD_PUT_FLOOR">Options!$B$11</definedName>
    <definedName name="USD_TODAY">'Money Market'!$B$9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8" l="1"/>
  <c r="D20" i="7"/>
  <c r="D16" i="7"/>
  <c r="A13" i="7"/>
  <c r="B13" i="7" s="1"/>
  <c r="A23" i="6"/>
  <c r="B13" i="6"/>
  <c r="B14" i="6" s="1"/>
  <c r="B8" i="6"/>
  <c r="B7" i="6"/>
  <c r="B6" i="6"/>
  <c r="B15" i="6" s="1"/>
  <c r="B11" i="5"/>
  <c r="B8" i="5"/>
  <c r="B9" i="5" s="1"/>
  <c r="B10" i="5" s="1"/>
  <c r="B7" i="5"/>
  <c r="B6" i="5"/>
  <c r="B9" i="4"/>
  <c r="D23" i="7" s="1"/>
  <c r="B7" i="4"/>
  <c r="B6" i="4"/>
  <c r="B16" i="6" l="1"/>
  <c r="B23" i="6"/>
  <c r="C23" i="6" s="1"/>
  <c r="C13" i="7"/>
  <c r="J13" i="7" s="1"/>
  <c r="B12" i="5"/>
  <c r="E22" i="7"/>
  <c r="E18" i="7"/>
  <c r="E14" i="7"/>
  <c r="B8" i="7"/>
  <c r="E23" i="7"/>
  <c r="E19" i="7"/>
  <c r="E15" i="7"/>
  <c r="E21" i="7"/>
  <c r="E17" i="7"/>
  <c r="E13" i="7"/>
  <c r="B19" i="1"/>
  <c r="E20" i="7"/>
  <c r="E16" i="7"/>
  <c r="A14" i="7"/>
  <c r="D13" i="7"/>
  <c r="D17" i="7"/>
  <c r="D21" i="7"/>
  <c r="B6" i="7"/>
  <c r="B9" i="6"/>
  <c r="B10" i="6" s="1"/>
  <c r="B9" i="7" s="1"/>
  <c r="B7" i="7"/>
  <c r="F13" i="7"/>
  <c r="D14" i="7"/>
  <c r="D18" i="7"/>
  <c r="D22" i="7"/>
  <c r="B18" i="1"/>
  <c r="D15" i="7"/>
  <c r="D19" i="7"/>
  <c r="I13" i="7" l="1"/>
  <c r="D23" i="6"/>
  <c r="G13" i="7"/>
  <c r="B7" i="8"/>
  <c r="E7" i="8" s="1"/>
  <c r="H13" i="7"/>
  <c r="B8" i="8"/>
  <c r="E8" i="8" s="1"/>
  <c r="A15" i="7"/>
  <c r="A24" i="6"/>
  <c r="B14" i="7"/>
  <c r="B6" i="8"/>
  <c r="E6" i="8" s="1"/>
  <c r="B14" i="5"/>
  <c r="B7" i="9" s="1"/>
  <c r="A16" i="7" l="1"/>
  <c r="B15" i="7"/>
  <c r="A25" i="6"/>
  <c r="B24" i="6"/>
  <c r="C14" i="7"/>
  <c r="F14" i="7"/>
  <c r="B9" i="8" l="1"/>
  <c r="E9" i="8" s="1"/>
  <c r="J14" i="7"/>
  <c r="G14" i="7"/>
  <c r="H14" i="7"/>
  <c r="I14" i="7"/>
  <c r="C24" i="6"/>
  <c r="D24" i="6"/>
  <c r="C15" i="7"/>
  <c r="B25" i="6"/>
  <c r="F15" i="7"/>
  <c r="B16" i="7"/>
  <c r="A17" i="7"/>
  <c r="A26" i="6"/>
  <c r="B26" i="6" l="1"/>
  <c r="C16" i="7"/>
  <c r="F16" i="7"/>
  <c r="I15" i="7"/>
  <c r="B17" i="7"/>
  <c r="A27" i="6"/>
  <c r="A18" i="7"/>
  <c r="C25" i="6"/>
  <c r="D25" i="6"/>
  <c r="J15" i="7"/>
  <c r="G15" i="7"/>
  <c r="H15" i="7"/>
  <c r="A19" i="7" l="1"/>
  <c r="A28" i="6"/>
  <c r="B18" i="7"/>
  <c r="B27" i="6"/>
  <c r="C17" i="7"/>
  <c r="F17" i="7"/>
  <c r="I17" i="7" s="1"/>
  <c r="I16" i="7"/>
  <c r="J16" i="7"/>
  <c r="G16" i="7"/>
  <c r="H16" i="7"/>
  <c r="C26" i="6"/>
  <c r="D26" i="6"/>
  <c r="J17" i="7" l="1"/>
  <c r="G17" i="7"/>
  <c r="H17" i="7"/>
  <c r="C27" i="6"/>
  <c r="D27" i="6"/>
  <c r="B28" i="6"/>
  <c r="C18" i="7"/>
  <c r="F18" i="7"/>
  <c r="A20" i="7"/>
  <c r="B19" i="7"/>
  <c r="A29" i="6"/>
  <c r="B10" i="8" l="1"/>
  <c r="E10" i="8" s="1"/>
  <c r="F13" i="8" s="1"/>
  <c r="I18" i="7"/>
  <c r="J18" i="7"/>
  <c r="H18" i="7"/>
  <c r="G18" i="7"/>
  <c r="C28" i="6"/>
  <c r="D28" i="6"/>
  <c r="C19" i="7"/>
  <c r="B29" i="6"/>
  <c r="F19" i="7"/>
  <c r="B20" i="7"/>
  <c r="A21" i="7"/>
  <c r="A30" i="6"/>
  <c r="J19" i="7" l="1"/>
  <c r="G19" i="7"/>
  <c r="H19" i="7"/>
  <c r="B21" i="7"/>
  <c r="A31" i="6"/>
  <c r="A22" i="7"/>
  <c r="B30" i="6"/>
  <c r="C20" i="7"/>
  <c r="F20" i="7"/>
  <c r="I19" i="7"/>
  <c r="C29" i="6"/>
  <c r="D29" i="6"/>
  <c r="G15" i="9"/>
  <c r="G14" i="9"/>
  <c r="G13" i="9"/>
  <c r="G12" i="9"/>
  <c r="G11" i="9"/>
  <c r="B6" i="9"/>
  <c r="B21" i="1"/>
  <c r="J20" i="7" l="1"/>
  <c r="G20" i="7"/>
  <c r="H20" i="7"/>
  <c r="C30" i="6"/>
  <c r="D30" i="6"/>
  <c r="A23" i="7"/>
  <c r="A32" i="6"/>
  <c r="B22" i="7"/>
  <c r="B31" i="6"/>
  <c r="C21" i="7"/>
  <c r="F21" i="7"/>
  <c r="I21" i="7" s="1"/>
  <c r="I20" i="7"/>
  <c r="B23" i="7" l="1"/>
  <c r="A33" i="6"/>
  <c r="B32" i="6"/>
  <c r="C22" i="7"/>
  <c r="F22" i="7"/>
  <c r="I22" i="7" s="1"/>
  <c r="J21" i="7"/>
  <c r="G21" i="7"/>
  <c r="H21" i="7"/>
  <c r="C31" i="6"/>
  <c r="D31" i="6"/>
  <c r="J22" i="7" l="1"/>
  <c r="H22" i="7"/>
  <c r="G22" i="7"/>
  <c r="C32" i="6"/>
  <c r="D32" i="6"/>
  <c r="C23" i="7"/>
  <c r="B33" i="6"/>
  <c r="F23" i="7"/>
  <c r="I23" i="7" l="1"/>
  <c r="B11" i="6"/>
  <c r="B20" i="1" s="1"/>
  <c r="C33" i="6"/>
  <c r="D33" i="6"/>
  <c r="J23" i="7"/>
  <c r="G23" i="7"/>
  <c r="H23" i="7"/>
</calcChain>
</file>

<file path=xl/sharedStrings.xml><?xml version="1.0" encoding="utf-8"?>
<sst xmlns="http://schemas.openxmlformats.org/spreadsheetml/2006/main" count="323" uniqueCount="268">
  <si>
    <t>Scenario 4 — EUR Receivable FX Hedge Model</t>
  </si>
  <si>
    <t>Stage 4 Market Data Population • Formula-driven treasury decision model</t>
  </si>
  <si>
    <t>Scenario</t>
  </si>
  <si>
    <t>U.S. Aerospace Manufacturer — €20,000,000 receivable</t>
  </si>
  <si>
    <t>Author</t>
  </si>
  <si>
    <t>Kiley Gennerman</t>
  </si>
  <si>
    <t>Model date</t>
  </si>
  <si>
    <t>2026-08-02</t>
  </si>
  <si>
    <t>Settlement horizon</t>
  </si>
  <si>
    <t>365 days / one year</t>
  </si>
  <si>
    <t>Model status</t>
  </si>
  <si>
    <t>LIVE — Stage 4 market data populated 2026-08-02 (close 2026-07-31)</t>
  </si>
  <si>
    <t>Data Provenance and Use</t>
  </si>
  <si>
    <t>Stage 4 market inputs are dated and documented in data/2026-08-02-gennerman-market-data.md. EUR/USD spot uses the ECB reference rate; the USD rate uses the U.S. 1-year Treasury CMT; the EUR-rate proxy is the ECB deposit facility. The one-year forward is CIP-implied from those inputs; option premia remain the required scenario assumption. This workbook is an analytical model, not trade authorization.</t>
  </si>
  <si>
    <t>Executive Outputs (linked to model)</t>
  </si>
  <si>
    <t>Metric</t>
  </si>
  <si>
    <t>Value</t>
  </si>
  <si>
    <t>Locked forward proceeds</t>
  </si>
  <si>
    <t>Money-market proceeds</t>
  </si>
  <si>
    <t>Put floor (net proceeds)</t>
  </si>
  <si>
    <t>Legend / Key</t>
  </si>
  <si>
    <t>Required color convention applied consistently across the workbook</t>
  </si>
  <si>
    <t>Color</t>
  </si>
  <si>
    <t>Cell class</t>
  </si>
  <si>
    <t>Meaning</t>
  </si>
  <si>
    <t>Yellow</t>
  </si>
  <si>
    <t>Inputs</t>
  </si>
  <si>
    <t>Editable market and contract inputs; blue font identifies user-editable values.</t>
  </si>
  <si>
    <t>Blue</t>
  </si>
  <si>
    <t>Assumptions</t>
  </si>
  <si>
    <t>Editable model conventions and sensitivity controls.</t>
  </si>
  <si>
    <t>Green</t>
  </si>
  <si>
    <t>Formulas</t>
  </si>
  <si>
    <t>Formula-driven calculations and passing control cells.</t>
  </si>
  <si>
    <t>Gray</t>
  </si>
  <si>
    <t>Outputs</t>
  </si>
  <si>
    <t>Formula-driven executive outputs and sensitivity results.</t>
  </si>
  <si>
    <t>Control convention: PASS is green; FAIL is red. All calculated values are formulas. Inputs are centralized on the Inputs tab; do not edit calculation or output cells.</t>
  </si>
  <si>
    <t>Inputs and Assumptions</t>
  </si>
  <si>
    <t>Yellow cells contain dated Stage 4 market data; blue cells are model conventions</t>
  </si>
  <si>
    <t>Market and Contract Inputs — populated 2026-08-02; sources in data memo</t>
  </si>
  <si>
    <t>Named Range</t>
  </si>
  <si>
    <t>Unit</t>
  </si>
  <si>
    <t>Description</t>
  </si>
  <si>
    <t>Stage 4 source</t>
  </si>
  <si>
    <t>FC_AMT</t>
  </si>
  <si>
    <t>EUR</t>
  </si>
  <si>
    <t>Contractual foreign-currency receivable</t>
  </si>
  <si>
    <t>Executed customer contract</t>
  </si>
  <si>
    <t>S0_in</t>
  </si>
  <si>
    <t>USD per EUR</t>
  </si>
  <si>
    <t>EUR/USD spot at model inception</t>
  </si>
  <si>
    <t>ECB reference rate; 2026-07-27</t>
  </si>
  <si>
    <t>F0_in</t>
  </si>
  <si>
    <t>1-year EUR/USD forward</t>
  </si>
  <si>
    <t>CIP-implied from S0_in, R_USD, R_FC</t>
  </si>
  <si>
    <t>R_USD</t>
  </si>
  <si>
    <t>Annual %</t>
  </si>
  <si>
    <t>USD 1-year rate</t>
  </si>
  <si>
    <t>FRED DGS1 / U.S. Treasury CMT; 2026-07-08</t>
  </si>
  <si>
    <t>R_FC</t>
  </si>
  <si>
    <t>EUR reference-rate proxy</t>
  </si>
  <si>
    <t>ECB deposit facility; effective 2026-06-17</t>
  </si>
  <si>
    <t>K_PUT</t>
  </si>
  <si>
    <t>EUR put strike</t>
  </si>
  <si>
    <t>Set near live spot; Treasury convention</t>
  </si>
  <si>
    <t>K_CALL</t>
  </si>
  <si>
    <t>EUR call strike; reference only</t>
  </si>
  <si>
    <t>PREM_PUT</t>
  </si>
  <si>
    <t>Put premium per EUR</t>
  </si>
  <si>
    <t>Scenario assumption; retail quotes unreliable</t>
  </si>
  <si>
    <t>PREM_CALL</t>
  </si>
  <si>
    <t>Call premium per EUR</t>
  </si>
  <si>
    <t>T_DAYS</t>
  </si>
  <si>
    <t>Days</t>
  </si>
  <si>
    <t>Days to settlement</t>
  </si>
  <si>
    <t>Contract date less valuation date</t>
  </si>
  <si>
    <t>Model Assumptions and Sensitivity Controls</t>
  </si>
  <si>
    <t>Assumption</t>
  </si>
  <si>
    <t>Purpose</t>
  </si>
  <si>
    <t>BASIS_USD</t>
  </si>
  <si>
    <t>ACT/360 simple-interest basis for USD leg</t>
  </si>
  <si>
    <t>BASIS_FC</t>
  </si>
  <si>
    <t>ACT/360 simple-interest basis for EUR leg</t>
  </si>
  <si>
    <t>STEP_FRAC</t>
  </si>
  <si>
    <t>%</t>
  </si>
  <si>
    <t>Sensitivity increment</t>
  </si>
  <si>
    <t>GRID_MIN</t>
  </si>
  <si>
    <t>Steps</t>
  </si>
  <si>
    <t>Starting sensitivity step; grid ends at +5</t>
  </si>
  <si>
    <t>Forward Hedge</t>
  </si>
  <si>
    <t>Sell €20,000,000 forward at the matching settlement rate</t>
  </si>
  <si>
    <t>Forward Calculation</t>
  </si>
  <si>
    <t>Item</t>
  </si>
  <si>
    <t>Formula / audit note</t>
  </si>
  <si>
    <t>EUR receivable</t>
  </si>
  <si>
    <t>=FC_AMT</t>
  </si>
  <si>
    <t>Forward rate</t>
  </si>
  <si>
    <t>=F0_in</t>
  </si>
  <si>
    <t>Forward contract</t>
  </si>
  <si>
    <t>Sell EUR / buy USD</t>
  </si>
  <si>
    <t>Direction</t>
  </si>
  <si>
    <t>Maturity matches T_DAYS</t>
  </si>
  <si>
    <t>Locked USD proceeds</t>
  </si>
  <si>
    <t>USD</t>
  </si>
  <si>
    <t>=FC_AMT*F0_in</t>
  </si>
  <si>
    <t>Hedge profile</t>
  </si>
  <si>
    <t>Fixed</t>
  </si>
  <si>
    <t>USD proceeds</t>
  </si>
  <si>
    <t>Invariant across S_T scenarios</t>
  </si>
  <si>
    <t>Input status</t>
  </si>
  <si>
    <t>Indicative</t>
  </si>
  <si>
    <t>Stage 4</t>
  </si>
  <si>
    <t>Replace F0_in with live matching-tenor quote</t>
  </si>
  <si>
    <t>Money-Market Hedge</t>
  </si>
  <si>
    <t>Three explicit steps — borrow EUR, convert to USD, invest USD</t>
  </si>
  <si>
    <t>Money-Market Calculation and Parity Control</t>
  </si>
  <si>
    <t>USD accumulation factor (DF_USD)</t>
  </si>
  <si>
    <t>x</t>
  </si>
  <si>
    <t>=1+R_USD*T_DAYS/BASIS_USD</t>
  </si>
  <si>
    <t>EUR accumulation factor (DF_FC)</t>
  </si>
  <si>
    <t>=1+R_FC*T_DAYS/BASIS_FC</t>
  </si>
  <si>
    <t>Step 1: borrow EUR PV</t>
  </si>
  <si>
    <t>=FC_AMT/DF_FC</t>
  </si>
  <si>
    <t>Step 2: convert to USD today</t>
  </si>
  <si>
    <t>=EUR_BORROW*S0_in</t>
  </si>
  <si>
    <t>Step 3: invest USD to maturity</t>
  </si>
  <si>
    <t>=USD_TODAY*DF_USD</t>
  </si>
  <si>
    <t>Forward benchmark</t>
  </si>
  <si>
    <t>=USD_FWD</t>
  </si>
  <si>
    <t>Parity gap</t>
  </si>
  <si>
    <t>=USD_MM-USD_FWD</t>
  </si>
  <si>
    <t>Parity tolerance</t>
  </si>
  <si>
    <t>Maximum permitted absolute gap</t>
  </si>
  <si>
    <t>Parity check</t>
  </si>
  <si>
    <t>PASS / FAIL</t>
  </si>
  <si>
    <t>=ABS(PARITY_GAP)&lt;=PARITY_TOL</t>
  </si>
  <si>
    <t>Settlement mechanics</t>
  </si>
  <si>
    <t>Receivable repays EUR borrowing</t>
  </si>
  <si>
    <t>No residual EUR exposure</t>
  </si>
  <si>
    <t>Option Hedges</t>
  </si>
  <si>
    <t>EUR put protects the receivable; EUR call cost is shown as a payable-reference calculation</t>
  </si>
  <si>
    <t>Put and Call Premium / Payoff Calculations</t>
  </si>
  <si>
    <t>Settlement spot (S_T base case)</t>
  </si>
  <si>
    <t>=S0_in</t>
  </si>
  <si>
    <t>Put premium total paid today</t>
  </si>
  <si>
    <t>=PREM_PUT*FC_AMT</t>
  </si>
  <si>
    <t>Put premium FV at settlement</t>
  </si>
  <si>
    <t>=PREMIUM_TOTAL_PUT*DF_USD</t>
  </si>
  <si>
    <t>Put intrinsic payoff</t>
  </si>
  <si>
    <t>=MAX(0,K_PUT-S_T_BASE)*FC_AMT</t>
  </si>
  <si>
    <t>Put net USD proceeds</t>
  </si>
  <si>
    <t>=S_T_BASE*FC_AMT+PUT_PAYOFF-FV_PREMIUM_PUT</t>
  </si>
  <si>
    <t>Put floor over sensitivity grid</t>
  </si>
  <si>
    <t>=MIN('Sensitivity'!F13:F23)</t>
  </si>
  <si>
    <t>Call premium total paid today</t>
  </si>
  <si>
    <t>=PREM_CALL*FC_AMT</t>
  </si>
  <si>
    <t>Call premium FV at settlement</t>
  </si>
  <si>
    <t>=PREMIUM_TOTAL_CALL*DF_USD</t>
  </si>
  <si>
    <t>Call intrinsic payoff</t>
  </si>
  <si>
    <t>=MAX(0,S_T_BASE-K_CALL)*FC_AMT</t>
  </si>
  <si>
    <t>Call USD cost (payable reference)</t>
  </si>
  <si>
    <t>=MIN(S_T_BASE,K_CALL)*FC_AMT+FV_PREMIUM_CALL</t>
  </si>
  <si>
    <t>Exercise logic</t>
  </si>
  <si>
    <t>Put: exercise below strike; Call: exercise above strike</t>
  </si>
  <si>
    <t>Call is reference-only for this receivable</t>
  </si>
  <si>
    <t>Replace strikes / premiums with executable quotes</t>
  </si>
  <si>
    <t>Call Reference — Formula-Driven Settlement-Spot Schedule</t>
  </si>
  <si>
    <t>Step</t>
  </si>
  <si>
    <t>S_T (USD/EUR)</t>
  </si>
  <si>
    <t>Call payoff</t>
  </si>
  <si>
    <t>USD outlay if payable</t>
  </si>
  <si>
    <t>Sensitivity — Settlement EUR/USD ±5%</t>
  </si>
  <si>
    <t>Formula-driven eleven-row comparison; higher USD proceeds are better for this receivable</t>
  </si>
  <si>
    <t>Strategy Summary (Gray Outputs)</t>
  </si>
  <si>
    <t>No-hedge base proceeds</t>
  </si>
  <si>
    <t>Forward locked proceeds</t>
  </si>
  <si>
    <t>Put base proceeds</t>
  </si>
  <si>
    <t>Sensitivity Results</t>
  </si>
  <si>
    <t>USD_NO_HEDGE</t>
  </si>
  <si>
    <t>USD_FWD</t>
  </si>
  <si>
    <t>USD_MM</t>
  </si>
  <si>
    <t>USD_PUT</t>
  </si>
  <si>
    <t>HEDGE_VALUE_FWD</t>
  </si>
  <si>
    <t>HEDGE_VALUE_MM</t>
  </si>
  <si>
    <t>HEDGE_VALUE_PUT</t>
  </si>
  <si>
    <t>OVERALL_WINNER</t>
  </si>
  <si>
    <t>Validation Checks</t>
  </si>
  <si>
    <t>All checks must pass before Stage 4 market-data replacement</t>
  </si>
  <si>
    <t>Live Workbook Audit Controls</t>
  </si>
  <si>
    <t>Check</t>
  </si>
  <si>
    <t>Actual</t>
  </si>
  <si>
    <t>Expected</t>
  </si>
  <si>
    <t>Tolerance</t>
  </si>
  <si>
    <t>Status</t>
  </si>
  <si>
    <t>Where to fix</t>
  </si>
  <si>
    <t>Notes</t>
  </si>
  <si>
    <t>Forward vs. money-market parity</t>
  </si>
  <si>
    <t>Inputs / Money Market</t>
  </si>
  <si>
    <t>Uses unrounded USD outcomes</t>
  </si>
  <si>
    <t>Forward is constant in grid</t>
  </si>
  <si>
    <t>Sensitivity</t>
  </si>
  <si>
    <t>Max less min of forward column</t>
  </si>
  <si>
    <t>Money market is constant in grid</t>
  </si>
  <si>
    <t>Max less min of money-market column</t>
  </si>
  <si>
    <t>No-hedge step equals exposure × grid step</t>
  </si>
  <si>
    <t>Sensitivity / Inputs</t>
  </si>
  <si>
    <t>Checks first two sensitivity rows</t>
  </si>
  <si>
    <t>Put base ties to Options tab</t>
  </si>
  <si>
    <t>Options / Sensitivity</t>
  </si>
  <si>
    <t>Base row must match option base proceeds</t>
  </si>
  <si>
    <t>Overall Model Status</t>
  </si>
  <si>
    <t>MODEL STATUS</t>
  </si>
  <si>
    <t>Stage 3 Audit Summary</t>
  </si>
  <si>
    <t>Audit findings, fixes, and live workbook status — companion to analysis/2026-07-30-gennerman-build-audit.md</t>
  </si>
  <si>
    <t>Audit Status</t>
  </si>
  <si>
    <t>Audit item</t>
  </si>
  <si>
    <t>Live value</t>
  </si>
  <si>
    <t>Overall model status</t>
  </si>
  <si>
    <t>Findings, Fixes, and Evidence</t>
  </si>
  <si>
    <t>#</t>
  </si>
  <si>
    <t>What was checked</t>
  </si>
  <si>
    <t>Finding</t>
  </si>
  <si>
    <t>Correction</t>
  </si>
  <si>
    <t>Evidence</t>
  </si>
  <si>
    <t>Workbook location</t>
  </si>
  <si>
    <t>Forward / money-market parity</t>
  </si>
  <si>
    <t>Original indicative forward placeholder was inconsistent with ACT/360 rates.</t>
  </si>
  <si>
    <t>Replaced it with the full covered-interest-parity value; it displays as 1.1273.</t>
  </si>
  <si>
    <t>Parity gap is effectively $0.</t>
  </si>
  <si>
    <t>Inputs; Money Market; Checks</t>
  </si>
  <si>
    <t>Put-floor trace</t>
  </si>
  <si>
    <t>Put floor originally pointed to the wrong sensitivity range.</t>
  </si>
  <si>
    <t>Linked USD_PUT_FLOOR to the USD_PUT sensitivity column.</t>
  </si>
  <si>
    <t>$21,372,625 matches the grid minimum.</t>
  </si>
  <si>
    <t>Options; Sensitivity</t>
  </si>
  <si>
    <t>Cover status link</t>
  </si>
  <si>
    <t>Cover referred to the wrong overall-status cell.</t>
  </si>
  <si>
    <t>Relinked Cover model status to the Checks tab.</t>
  </si>
  <si>
    <t>Cover and Checks both show PASS.</t>
  </si>
  <si>
    <t>Cover; Checks</t>
  </si>
  <si>
    <t>Formula descriptions</t>
  </si>
  <si>
    <t>Formula notes evaluated as formulas instead of displaying the audit logic.</t>
  </si>
  <si>
    <t>Converted formula descriptions to literal text; calculation cells remain formulas.</t>
  </si>
  <si>
    <t>Formula logic is readable on all calculation tabs.</t>
  </si>
  <si>
    <t>Forward; Money Market; Options</t>
  </si>
  <si>
    <t>Call S_T schedule</t>
  </si>
  <si>
    <t>Call was displayed only at the base case, not across settlement spots.</t>
  </si>
  <si>
    <t>Added an eleven-row call payoff and payable-outlay schedule linked to S_T.</t>
  </si>
  <si>
    <t>Call payoff and capped outlay recalculate from −5% to +5%.</t>
  </si>
  <si>
    <t>Options</t>
  </si>
  <si>
    <t>Notes &amp; Assumptions</t>
  </si>
  <si>
    <t>Source documentation, conventions, and Stage 4 refresh instructions</t>
  </si>
  <si>
    <t>Topic</t>
  </si>
  <si>
    <t>Documentation</t>
  </si>
  <si>
    <t>Quote convention</t>
  </si>
  <si>
    <t>All FX rates are USD per EUR. A higher rate means EUR appreciation and higher USD proceeds on the receivable.</t>
  </si>
  <si>
    <t>Interest convention</t>
  </si>
  <si>
    <t>Simple interest, ACT/360 for both the USD and EUR legs: 1 + rate × days / 360.</t>
  </si>
  <si>
    <t>Forward / MM parity</t>
  </si>
  <si>
    <t>Stage 4 F0_in is CIP-implied: S0_in × (1 + R_USD × T_DAYS/360) / (1 + R_FC × T_DAYS/360). The model therefore should pass parity within the $1 tolerance.</t>
  </si>
  <si>
    <t>Option premium</t>
  </si>
  <si>
    <t>Premium is paid in USD today per EUR of notional and carried to settlement at R_USD. No contract multiplier is assumed.</t>
  </si>
  <si>
    <t>Excluded items</t>
  </si>
  <si>
    <t>Counterparty risk, CVA, collateral, taxes, accounting designation, bid-ask, commissions, and transaction costs are excluded from the base case.</t>
  </si>
  <si>
    <t>Eleven formula-driven observations: -5% to +5% of S0_in in 1% steps. No probability weights are applied.</t>
  </si>
  <si>
    <t>Stage 4 population</t>
  </si>
  <si>
    <t>Sources and retrieval logic are documented in data/2026-08-02-gennerman-market-data.md. Use 2026-07-27 ECB EUR/USD spot, 2026-07-08 FRED DGS1, and ECB 2.25% deposit facility; option premia remain scenario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</si>
</sst>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[Red]&quot;($&quot;#,##0\);\-"/>
    <numFmt numFmtId="165" formatCode="0.0000"/>
    <numFmt numFmtId="166" formatCode="0.0%"/>
    <numFmt numFmtId="167" formatCode="0.000000"/>
  </numFmts>
  <fonts count="9" x14ac:knownFonts="1">
    <font>
      <sz val="10"/>
      <name val="Arial"/>
      <family val="2"/>
      <charset val="1"/>
    </font>
    <font>
      <b/>
      <sz val="16"/>
      <color rgb="FFFFFFFF"/>
      <name val="Calibri"/>
      <family val="2"/>
    </font>
    <font>
      <i/>
      <sz val="10"/>
      <color rgb="FF1F2937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24731"/>
        <bgColor rgb="FF003366"/>
      </patternFill>
    </fill>
    <fill>
      <patternFill patternType="solid">
        <fgColor rgb="FFF3F4F6"/>
        <bgColor rgb="FFFFFFFF"/>
      </patternFill>
    </fill>
    <fill>
      <patternFill patternType="solid">
        <fgColor rgb="FF1F2937"/>
        <bgColor rgb="FF333300"/>
      </patternFill>
    </fill>
    <fill>
      <patternFill patternType="solid">
        <fgColor rgb="FFD9E1F2"/>
        <bgColor rgb="FFD9EAF7"/>
      </patternFill>
    </fill>
    <fill>
      <patternFill patternType="solid">
        <fgColor rgb="FFC6E0B4"/>
        <bgColor rgb="FFD9D9D9"/>
      </patternFill>
    </fill>
    <fill>
      <patternFill patternType="solid">
        <fgColor rgb="FFFFF2CC"/>
        <bgColor rgb="FFF3F4F6"/>
      </patternFill>
    </fill>
    <fill>
      <patternFill patternType="solid">
        <fgColor rgb="FFD9EAF7"/>
        <bgColor rgb="FFD9E1F2"/>
      </patternFill>
    </fill>
  </fills>
  <borders count="5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 style="thin">
        <color rgb="FFB7C3D0"/>
      </right>
      <top/>
      <bottom/>
      <diagonal/>
    </border>
    <border>
      <left style="thin">
        <color rgb="FFB7C3D0"/>
      </left>
      <right style="thin">
        <color rgb="FFB7C3D0"/>
      </right>
      <top/>
      <bottom style="thin">
        <color rgb="FFB7C3D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5" borderId="1" xfId="0" applyFont="1" applyFill="1" applyBorder="1"/>
    <xf numFmtId="0" fontId="4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5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/>
    <xf numFmtId="0" fontId="4" fillId="0" borderId="1" xfId="0" applyFont="1" applyBorder="1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164" fontId="6" fillId="5" borderId="2" xfId="0" applyNumberFormat="1" applyFont="1" applyFill="1" applyBorder="1"/>
    <xf numFmtId="164" fontId="6" fillId="5" borderId="3" xfId="0" applyNumberFormat="1" applyFont="1" applyFill="1" applyBorder="1"/>
    <xf numFmtId="164" fontId="6" fillId="5" borderId="4" xfId="0" applyNumberFormat="1" applyFont="1" applyFill="1" applyBorder="1"/>
    <xf numFmtId="0" fontId="3" fillId="6" borderId="1" xfId="0" applyFont="1" applyFill="1" applyBorder="1"/>
    <xf numFmtId="0" fontId="4" fillId="7" borderId="1" xfId="0" applyFont="1" applyFill="1" applyBorder="1"/>
    <xf numFmtId="0" fontId="4" fillId="0" borderId="1" xfId="0" applyFont="1" applyBorder="1"/>
    <xf numFmtId="0" fontId="4" fillId="8" borderId="1" xfId="0" applyFont="1" applyFill="1" applyBorder="1"/>
    <xf numFmtId="0" fontId="4" fillId="6" borderId="1" xfId="0" applyFont="1" applyFill="1" applyBorder="1"/>
    <xf numFmtId="0" fontId="4" fillId="5" borderId="1" xfId="0" applyFont="1" applyFill="1" applyBorder="1"/>
    <xf numFmtId="3" fontId="7" fillId="7" borderId="1" xfId="0" applyNumberFormat="1" applyFont="1" applyFill="1" applyBorder="1"/>
    <xf numFmtId="165" fontId="7" fillId="7" borderId="1" xfId="0" applyNumberFormat="1" applyFont="1" applyFill="1" applyBorder="1"/>
    <xf numFmtId="166" fontId="7" fillId="7" borderId="1" xfId="0" applyNumberFormat="1" applyFont="1" applyFill="1" applyBorder="1"/>
    <xf numFmtId="3" fontId="8" fillId="8" borderId="1" xfId="0" applyNumberFormat="1" applyFont="1" applyFill="1" applyBorder="1"/>
    <xf numFmtId="166" fontId="8" fillId="8" borderId="1" xfId="0" applyNumberFormat="1" applyFont="1" applyFill="1" applyBorder="1"/>
    <xf numFmtId="1" fontId="8" fillId="8" borderId="1" xfId="0" applyNumberFormat="1" applyFont="1" applyFill="1" applyBorder="1"/>
    <xf numFmtId="3" fontId="8" fillId="6" borderId="1" xfId="0" applyNumberFormat="1" applyFont="1" applyFill="1" applyBorder="1"/>
    <xf numFmtId="165" fontId="8" fillId="6" borderId="1" xfId="0" applyNumberFormat="1" applyFont="1" applyFill="1" applyBorder="1"/>
    <xf numFmtId="164" fontId="6" fillId="5" borderId="1" xfId="0" applyNumberFormat="1" applyFont="1" applyFill="1" applyBorder="1"/>
    <xf numFmtId="167" fontId="8" fillId="6" borderId="1" xfId="0" applyNumberFormat="1" applyFont="1" applyFill="1" applyBorder="1"/>
    <xf numFmtId="164" fontId="8" fillId="6" borderId="1" xfId="0" applyNumberFormat="1" applyFont="1" applyFill="1" applyBorder="1"/>
    <xf numFmtId="164" fontId="8" fillId="8" borderId="1" xfId="0" applyNumberFormat="1" applyFont="1" applyFill="1" applyBorder="1"/>
    <xf numFmtId="1" fontId="8" fillId="6" borderId="1" xfId="0" applyNumberFormat="1" applyFont="1" applyFill="1" applyBorder="1"/>
    <xf numFmtId="164" fontId="4" fillId="0" borderId="1" xfId="0" applyNumberFormat="1" applyFont="1" applyBorder="1"/>
    <xf numFmtId="0" fontId="3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7C3D0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F3F4F6"/>
      <rgbColor rgb="FFC6E0B4"/>
      <rgbColor rgb="FFFFFF99"/>
      <rgbColor rgb="FFD9E1F2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24731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USD Proceeds by EUR/USD Settlement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USD_NO_HEDGE</c:v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Sensitivity!$B$13:$B$23</c:f>
              <c:numCache>
                <c:formatCode>0.0000</c:formatCode>
                <c:ptCount val="11"/>
                <c:pt idx="0">
                  <c:v>1.095065</c:v>
                </c:pt>
                <c:pt idx="1">
                  <c:v>1.106592</c:v>
                </c:pt>
                <c:pt idx="2">
                  <c:v>1.1181190000000001</c:v>
                </c:pt>
                <c:pt idx="3">
                  <c:v>1.1296459999999999</c:v>
                </c:pt>
                <c:pt idx="4">
                  <c:v>1.141173</c:v>
                </c:pt>
                <c:pt idx="5">
                  <c:v>1.1527000000000001</c:v>
                </c:pt>
                <c:pt idx="6">
                  <c:v>1.1642270000000001</c:v>
                </c:pt>
                <c:pt idx="7">
                  <c:v>1.1757540000000002</c:v>
                </c:pt>
                <c:pt idx="8">
                  <c:v>1.187281</c:v>
                </c:pt>
                <c:pt idx="9">
                  <c:v>1.1988080000000001</c:v>
                </c:pt>
                <c:pt idx="10">
                  <c:v>1.2103350000000002</c:v>
                </c:pt>
              </c:numCache>
            </c:numRef>
          </c:cat>
          <c:val>
            <c:numRef>
              <c:f>Sensitivity!$C$13:$C$23</c:f>
              <c:numCache>
                <c:formatCode>\$#,##0;[Red]"($"#,##0\);\-</c:formatCode>
                <c:ptCount val="11"/>
                <c:pt idx="0">
                  <c:v>21901300</c:v>
                </c:pt>
                <c:pt idx="1">
                  <c:v>22131840</c:v>
                </c:pt>
                <c:pt idx="2">
                  <c:v>22362380</c:v>
                </c:pt>
                <c:pt idx="3">
                  <c:v>22592920</c:v>
                </c:pt>
                <c:pt idx="4">
                  <c:v>22823460</c:v>
                </c:pt>
                <c:pt idx="5">
                  <c:v>23054000</c:v>
                </c:pt>
                <c:pt idx="6">
                  <c:v>23284540.000000004</c:v>
                </c:pt>
                <c:pt idx="7">
                  <c:v>23515080.000000004</c:v>
                </c:pt>
                <c:pt idx="8">
                  <c:v>23745620</c:v>
                </c:pt>
                <c:pt idx="9">
                  <c:v>23976160.000000004</c:v>
                </c:pt>
                <c:pt idx="10">
                  <c:v>24206700.000000004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FE-314E-A4CB-AF5F415077FC}"/>
            </c:ext>
          </c:extLst>
        </c:ser>
        <c:ser>
          <c:idx val="1"/>
          <c:order val="1"/>
          <c:tx>
            <c:v>USD_FWD</c:v>
          </c:tx>
          <c:spPr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Sensitivity!$B$13:$B$23</c:f>
              <c:numCache>
                <c:formatCode>0.0000</c:formatCode>
                <c:ptCount val="11"/>
                <c:pt idx="0">
                  <c:v>1.095065</c:v>
                </c:pt>
                <c:pt idx="1">
                  <c:v>1.106592</c:v>
                </c:pt>
                <c:pt idx="2">
                  <c:v>1.1181190000000001</c:v>
                </c:pt>
                <c:pt idx="3">
                  <c:v>1.1296459999999999</c:v>
                </c:pt>
                <c:pt idx="4">
                  <c:v>1.141173</c:v>
                </c:pt>
                <c:pt idx="5">
                  <c:v>1.1527000000000001</c:v>
                </c:pt>
                <c:pt idx="6">
                  <c:v>1.1642270000000001</c:v>
                </c:pt>
                <c:pt idx="7">
                  <c:v>1.1757540000000002</c:v>
                </c:pt>
                <c:pt idx="8">
                  <c:v>1.187281</c:v>
                </c:pt>
                <c:pt idx="9">
                  <c:v>1.1988080000000001</c:v>
                </c:pt>
                <c:pt idx="10">
                  <c:v>1.2103350000000002</c:v>
                </c:pt>
              </c:numCache>
            </c:numRef>
          </c:cat>
          <c:val>
            <c:numRef>
              <c:f>Sensitivity!$D$13:$D$23</c:f>
              <c:numCache>
                <c:formatCode>\$#,##0;[Red]"($"#,##0\);\-</c:formatCode>
                <c:ptCount val="11"/>
                <c:pt idx="0">
                  <c:v>23300437.8825658</c:v>
                </c:pt>
                <c:pt idx="1">
                  <c:v>23300437.8825658</c:v>
                </c:pt>
                <c:pt idx="2">
                  <c:v>23300437.8825658</c:v>
                </c:pt>
                <c:pt idx="3">
                  <c:v>23300437.8825658</c:v>
                </c:pt>
                <c:pt idx="4">
                  <c:v>23300437.8825658</c:v>
                </c:pt>
                <c:pt idx="5">
                  <c:v>23300437.8825658</c:v>
                </c:pt>
                <c:pt idx="6">
                  <c:v>23300437.8825658</c:v>
                </c:pt>
                <c:pt idx="7">
                  <c:v>23300437.8825658</c:v>
                </c:pt>
                <c:pt idx="8">
                  <c:v>23300437.8825658</c:v>
                </c:pt>
                <c:pt idx="9">
                  <c:v>23300437.8825658</c:v>
                </c:pt>
                <c:pt idx="10">
                  <c:v>23300437.8825658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7FE-314E-A4CB-AF5F415077FC}"/>
            </c:ext>
          </c:extLst>
        </c:ser>
        <c:ser>
          <c:idx val="2"/>
          <c:order val="2"/>
          <c:tx>
            <c:v>USD_MM</c:v>
          </c:tx>
          <c:spPr>
            <a:ln w="381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Sensitivity!$B$13:$B$23</c:f>
              <c:numCache>
                <c:formatCode>0.0000</c:formatCode>
                <c:ptCount val="11"/>
                <c:pt idx="0">
                  <c:v>1.095065</c:v>
                </c:pt>
                <c:pt idx="1">
                  <c:v>1.106592</c:v>
                </c:pt>
                <c:pt idx="2">
                  <c:v>1.1181190000000001</c:v>
                </c:pt>
                <c:pt idx="3">
                  <c:v>1.1296459999999999</c:v>
                </c:pt>
                <c:pt idx="4">
                  <c:v>1.141173</c:v>
                </c:pt>
                <c:pt idx="5">
                  <c:v>1.1527000000000001</c:v>
                </c:pt>
                <c:pt idx="6">
                  <c:v>1.1642270000000001</c:v>
                </c:pt>
                <c:pt idx="7">
                  <c:v>1.1757540000000002</c:v>
                </c:pt>
                <c:pt idx="8">
                  <c:v>1.187281</c:v>
                </c:pt>
                <c:pt idx="9">
                  <c:v>1.1988080000000001</c:v>
                </c:pt>
                <c:pt idx="10">
                  <c:v>1.2103350000000002</c:v>
                </c:pt>
              </c:numCache>
            </c:numRef>
          </c:cat>
          <c:val>
            <c:numRef>
              <c:f>Sensitivity!$E$13:$E$23</c:f>
              <c:numCache>
                <c:formatCode>\$#,##0;[Red]"($"#,##0\);\-</c:formatCode>
                <c:ptCount val="11"/>
                <c:pt idx="0">
                  <c:v>23300437.882565767</c:v>
                </c:pt>
                <c:pt idx="1">
                  <c:v>23300437.882565767</c:v>
                </c:pt>
                <c:pt idx="2">
                  <c:v>23300437.882565767</c:v>
                </c:pt>
                <c:pt idx="3">
                  <c:v>23300437.882565767</c:v>
                </c:pt>
                <c:pt idx="4">
                  <c:v>23300437.882565767</c:v>
                </c:pt>
                <c:pt idx="5">
                  <c:v>23300437.882565767</c:v>
                </c:pt>
                <c:pt idx="6">
                  <c:v>23300437.882565767</c:v>
                </c:pt>
                <c:pt idx="7">
                  <c:v>23300437.882565767</c:v>
                </c:pt>
                <c:pt idx="8">
                  <c:v>23300437.882565767</c:v>
                </c:pt>
                <c:pt idx="9">
                  <c:v>23300437.882565767</c:v>
                </c:pt>
                <c:pt idx="10">
                  <c:v>23300437.882565767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7FE-314E-A4CB-AF5F415077FC}"/>
            </c:ext>
          </c:extLst>
        </c:ser>
        <c:ser>
          <c:idx val="3"/>
          <c:order val="3"/>
          <c:tx>
            <c:v>USD_PUT</c:v>
          </c:tx>
          <c:spPr>
            <a:ln w="38160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Sensitivity!$B$13:$B$23</c:f>
              <c:numCache>
                <c:formatCode>0.0000</c:formatCode>
                <c:ptCount val="11"/>
                <c:pt idx="0">
                  <c:v>1.095065</c:v>
                </c:pt>
                <c:pt idx="1">
                  <c:v>1.106592</c:v>
                </c:pt>
                <c:pt idx="2">
                  <c:v>1.1181190000000001</c:v>
                </c:pt>
                <c:pt idx="3">
                  <c:v>1.1296459999999999</c:v>
                </c:pt>
                <c:pt idx="4">
                  <c:v>1.141173</c:v>
                </c:pt>
                <c:pt idx="5">
                  <c:v>1.1527000000000001</c:v>
                </c:pt>
                <c:pt idx="6">
                  <c:v>1.1642270000000001</c:v>
                </c:pt>
                <c:pt idx="7">
                  <c:v>1.1757540000000002</c:v>
                </c:pt>
                <c:pt idx="8">
                  <c:v>1.187281</c:v>
                </c:pt>
                <c:pt idx="9">
                  <c:v>1.1988080000000001</c:v>
                </c:pt>
                <c:pt idx="10">
                  <c:v>1.2103350000000002</c:v>
                </c:pt>
              </c:numCache>
            </c:numRef>
          </c:cat>
          <c:val>
            <c:numRef>
              <c:f>Sensitivity!$F$13:$F$23</c:f>
              <c:numCache>
                <c:formatCode>\$#,##0;[Red]"($"#,##0\);\-</c:formatCode>
                <c:ptCount val="11"/>
                <c:pt idx="0">
                  <c:v>22429362.5</c:v>
                </c:pt>
                <c:pt idx="1">
                  <c:v>22429362.5</c:v>
                </c:pt>
                <c:pt idx="2">
                  <c:v>22429362.5</c:v>
                </c:pt>
                <c:pt idx="3">
                  <c:v>22429362.5</c:v>
                </c:pt>
                <c:pt idx="4">
                  <c:v>22429362.5</c:v>
                </c:pt>
                <c:pt idx="5">
                  <c:v>22429362.5</c:v>
                </c:pt>
                <c:pt idx="6">
                  <c:v>22659902.500000004</c:v>
                </c:pt>
                <c:pt idx="7">
                  <c:v>22890442.500000004</c:v>
                </c:pt>
                <c:pt idx="8">
                  <c:v>23120982.5</c:v>
                </c:pt>
                <c:pt idx="9">
                  <c:v>23351522.500000004</c:v>
                </c:pt>
                <c:pt idx="10">
                  <c:v>23582062.500000004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7FE-314E-A4CB-AF5F41507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6362412"/>
        <c:axId val="89152812"/>
      </c:lineChart>
      <c:catAx>
        <c:axId val="9636241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9152812"/>
        <c:crosses val="autoZero"/>
        <c:auto val="1"/>
        <c:lblAlgn val="ctr"/>
        <c:lblOffset val="100"/>
        <c:noMultiLvlLbl val="0"/>
      </c:catAx>
      <c:valAx>
        <c:axId val="8915281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63624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16</xdr:col>
      <xdr:colOff>281160</xdr:colOff>
      <xdr:row>19</xdr:row>
      <xdr:rowOff>189720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zoomScaleNormal="100" workbookViewId="0">
      <selection sqref="A1:H1"/>
    </sheetView>
  </sheetViews>
  <sheetFormatPr baseColWidth="10" defaultColWidth="8.6640625" defaultRowHeight="13" x14ac:dyDescent="0.15"/>
  <cols>
    <col min="1" max="1" width="24" customWidth="1"/>
    <col min="2" max="4" width="22" customWidth="1"/>
    <col min="5" max="5" width="20" customWidth="1"/>
    <col min="6" max="8" width="18" customWidth="1"/>
  </cols>
  <sheetData>
    <row r="1" spans="1:8" ht="27.75" customHeight="1" x14ac:dyDescent="0.15">
      <c r="A1" s="6" t="s">
        <v>0</v>
      </c>
      <c r="B1" s="6"/>
      <c r="C1" s="6"/>
      <c r="D1" s="6"/>
      <c r="E1" s="6"/>
      <c r="F1" s="6"/>
      <c r="G1" s="6"/>
      <c r="H1" s="6"/>
    </row>
    <row r="2" spans="1:8" ht="21.75" customHeight="1" x14ac:dyDescent="0.15">
      <c r="A2" s="5" t="s">
        <v>1</v>
      </c>
      <c r="B2" s="5"/>
      <c r="C2" s="5"/>
      <c r="D2" s="5"/>
      <c r="E2" s="5"/>
      <c r="F2" s="5"/>
      <c r="G2" s="5"/>
      <c r="H2" s="5"/>
    </row>
    <row r="4" spans="1:8" ht="41.25" customHeight="1" x14ac:dyDescent="0.2">
      <c r="A4" s="7" t="s">
        <v>2</v>
      </c>
      <c r="B4" s="8" t="s">
        <v>3</v>
      </c>
    </row>
    <row r="5" spans="1:8" ht="15" customHeight="1" x14ac:dyDescent="0.2">
      <c r="A5" s="7" t="s">
        <v>4</v>
      </c>
      <c r="B5" s="8" t="s">
        <v>5</v>
      </c>
    </row>
    <row r="6" spans="1:8" ht="15" customHeight="1" x14ac:dyDescent="0.2">
      <c r="A6" s="7" t="s">
        <v>6</v>
      </c>
      <c r="B6" s="8" t="s">
        <v>7</v>
      </c>
    </row>
    <row r="7" spans="1:8" ht="15" customHeight="1" x14ac:dyDescent="0.2">
      <c r="A7" s="7" t="s">
        <v>8</v>
      </c>
      <c r="B7" s="8" t="s">
        <v>9</v>
      </c>
    </row>
    <row r="8" spans="1:8" ht="41.25" customHeight="1" x14ac:dyDescent="0.2">
      <c r="A8" s="7" t="s">
        <v>10</v>
      </c>
      <c r="B8" s="8" t="s">
        <v>11</v>
      </c>
    </row>
    <row r="10" spans="1:8" ht="15" customHeight="1" x14ac:dyDescent="0.15">
      <c r="A10" s="4" t="s">
        <v>12</v>
      </c>
      <c r="B10" s="4"/>
      <c r="C10" s="4"/>
      <c r="D10" s="4"/>
      <c r="E10" s="4"/>
      <c r="F10" s="4"/>
      <c r="G10" s="4"/>
      <c r="H10" s="4"/>
    </row>
    <row r="11" spans="1:8" ht="15" customHeight="1" x14ac:dyDescent="0.15">
      <c r="A11" s="3" t="s">
        <v>13</v>
      </c>
      <c r="B11" s="3"/>
      <c r="C11" s="3"/>
      <c r="D11" s="3"/>
      <c r="E11" s="3"/>
      <c r="F11" s="3"/>
      <c r="G11" s="3"/>
      <c r="H11" s="3"/>
    </row>
    <row r="12" spans="1:8" ht="15" customHeight="1" x14ac:dyDescent="0.15">
      <c r="A12" s="3"/>
      <c r="B12" s="3"/>
      <c r="C12" s="3"/>
      <c r="D12" s="3"/>
      <c r="E12" s="3"/>
      <c r="F12" s="3"/>
      <c r="G12" s="3"/>
      <c r="H12" s="3"/>
    </row>
    <row r="13" spans="1:8" ht="15" customHeight="1" x14ac:dyDescent="0.15">
      <c r="A13" s="3"/>
      <c r="B13" s="3"/>
      <c r="C13" s="3"/>
      <c r="D13" s="3"/>
      <c r="E13" s="3"/>
      <c r="F13" s="3"/>
      <c r="G13" s="3"/>
      <c r="H13" s="3"/>
    </row>
    <row r="14" spans="1:8" ht="15" customHeight="1" x14ac:dyDescent="0.15">
      <c r="A14" s="3"/>
      <c r="B14" s="3"/>
      <c r="C14" s="3"/>
      <c r="D14" s="3"/>
      <c r="E14" s="3"/>
      <c r="F14" s="3"/>
      <c r="G14" s="3"/>
      <c r="H14" s="3"/>
    </row>
    <row r="16" spans="1:8" ht="15" customHeight="1" x14ac:dyDescent="0.15">
      <c r="A16" s="4" t="s">
        <v>14</v>
      </c>
      <c r="B16" s="4"/>
      <c r="C16" s="4"/>
      <c r="D16" s="4"/>
      <c r="E16" s="4"/>
      <c r="F16" s="4"/>
      <c r="G16" s="4"/>
      <c r="H16" s="4"/>
    </row>
    <row r="17" spans="1:2" ht="15" customHeight="1" x14ac:dyDescent="0.15">
      <c r="A17" s="9" t="s">
        <v>15</v>
      </c>
      <c r="B17" s="9" t="s">
        <v>16</v>
      </c>
    </row>
    <row r="18" spans="1:2" ht="15" customHeight="1" x14ac:dyDescent="0.2">
      <c r="A18" t="s">
        <v>17</v>
      </c>
      <c r="B18" s="10">
        <f>USD_FWD</f>
        <v>23300437.8825658</v>
      </c>
    </row>
    <row r="19" spans="1:2" ht="15" customHeight="1" x14ac:dyDescent="0.2">
      <c r="A19" t="s">
        <v>18</v>
      </c>
      <c r="B19" s="11">
        <f>USD_MM</f>
        <v>23300437.882565767</v>
      </c>
    </row>
    <row r="20" spans="1:2" ht="15" customHeight="1" x14ac:dyDescent="0.2">
      <c r="A20" t="s">
        <v>19</v>
      </c>
      <c r="B20" s="12">
        <f>USD_PUT_FLOOR</f>
        <v>22429362.5</v>
      </c>
    </row>
    <row r="21" spans="1:2" ht="15" customHeight="1" x14ac:dyDescent="0.2">
      <c r="A21" t="s">
        <v>10</v>
      </c>
      <c r="B21" s="13" t="str">
        <f>Checks!F13</f>
        <v>PASS</v>
      </c>
    </row>
  </sheetData>
  <mergeCells count="5">
    <mergeCell ref="A1:H1"/>
    <mergeCell ref="A2:H2"/>
    <mergeCell ref="A10:H10"/>
    <mergeCell ref="A11:H14"/>
    <mergeCell ref="A16:H1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showGridLines="0" zoomScaleNormal="100" workbookViewId="0">
      <selection sqref="A1:C1"/>
    </sheetView>
  </sheetViews>
  <sheetFormatPr baseColWidth="10" defaultColWidth="8.6640625" defaultRowHeight="13" x14ac:dyDescent="0.15"/>
  <cols>
    <col min="1" max="1" width="24" customWidth="1"/>
    <col min="2" max="2" width="25" customWidth="1"/>
    <col min="3" max="3" width="60" customWidth="1"/>
  </cols>
  <sheetData>
    <row r="1" spans="1:3" ht="27.75" customHeight="1" x14ac:dyDescent="0.15">
      <c r="A1" s="6" t="s">
        <v>20</v>
      </c>
      <c r="B1" s="6"/>
      <c r="C1" s="6"/>
    </row>
    <row r="2" spans="1:3" ht="21.75" customHeight="1" x14ac:dyDescent="0.15">
      <c r="A2" s="5" t="s">
        <v>21</v>
      </c>
      <c r="B2" s="5"/>
      <c r="C2" s="5"/>
    </row>
    <row r="5" spans="1:3" ht="15" customHeight="1" x14ac:dyDescent="0.15">
      <c r="A5" s="9" t="s">
        <v>22</v>
      </c>
      <c r="B5" s="9" t="s">
        <v>23</v>
      </c>
      <c r="C5" s="9" t="s">
        <v>24</v>
      </c>
    </row>
    <row r="6" spans="1:3" ht="27.75" customHeight="1" x14ac:dyDescent="0.2">
      <c r="A6" s="14" t="s">
        <v>25</v>
      </c>
      <c r="B6" s="15" t="s">
        <v>26</v>
      </c>
      <c r="C6" s="8" t="s">
        <v>27</v>
      </c>
    </row>
    <row r="7" spans="1:3" ht="15" customHeight="1" x14ac:dyDescent="0.2">
      <c r="A7" s="16" t="s">
        <v>28</v>
      </c>
      <c r="B7" s="15" t="s">
        <v>29</v>
      </c>
      <c r="C7" s="8" t="s">
        <v>30</v>
      </c>
    </row>
    <row r="8" spans="1:3" ht="15" customHeight="1" x14ac:dyDescent="0.2">
      <c r="A8" s="17" t="s">
        <v>31</v>
      </c>
      <c r="B8" s="15" t="s">
        <v>32</v>
      </c>
      <c r="C8" s="8" t="s">
        <v>33</v>
      </c>
    </row>
    <row r="9" spans="1:3" ht="15" customHeight="1" x14ac:dyDescent="0.2">
      <c r="A9" s="18" t="s">
        <v>34</v>
      </c>
      <c r="B9" s="15" t="s">
        <v>35</v>
      </c>
      <c r="C9" s="8" t="s">
        <v>36</v>
      </c>
    </row>
    <row r="12" spans="1:3" ht="15" customHeight="1" x14ac:dyDescent="0.15">
      <c r="A12" s="2" t="s">
        <v>37</v>
      </c>
      <c r="B12" s="2"/>
      <c r="C12" s="2"/>
    </row>
    <row r="13" spans="1:3" ht="15" customHeight="1" x14ac:dyDescent="0.15">
      <c r="A13" s="2"/>
      <c r="B13" s="2"/>
      <c r="C13" s="2"/>
    </row>
    <row r="14" spans="1:3" ht="15" customHeight="1" x14ac:dyDescent="0.15">
      <c r="A14" s="2"/>
      <c r="B14" s="2"/>
      <c r="C14" s="2"/>
    </row>
  </sheetData>
  <mergeCells count="3">
    <mergeCell ref="A1:C1"/>
    <mergeCell ref="A2:C2"/>
    <mergeCell ref="A12:C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showGridLines="0" zoomScaleNormal="100" workbookViewId="0">
      <selection sqref="A1:E1"/>
    </sheetView>
  </sheetViews>
  <sheetFormatPr baseColWidth="10" defaultColWidth="8.6640625" defaultRowHeight="13" x14ac:dyDescent="0.15"/>
  <cols>
    <col min="1" max="2" width="17" customWidth="1"/>
    <col min="3" max="3" width="18" customWidth="1"/>
    <col min="4" max="4" width="58" customWidth="1"/>
    <col min="5" max="5" width="18" customWidth="1"/>
  </cols>
  <sheetData>
    <row r="1" spans="1:5" ht="27.75" customHeight="1" x14ac:dyDescent="0.15">
      <c r="A1" s="6" t="s">
        <v>38</v>
      </c>
      <c r="B1" s="6"/>
      <c r="C1" s="6"/>
      <c r="D1" s="6"/>
      <c r="E1" s="6"/>
    </row>
    <row r="2" spans="1:5" ht="21.75" customHeight="1" x14ac:dyDescent="0.15">
      <c r="A2" s="5" t="s">
        <v>39</v>
      </c>
      <c r="B2" s="5"/>
      <c r="C2" s="5"/>
      <c r="D2" s="5"/>
      <c r="E2" s="5"/>
    </row>
    <row r="4" spans="1:5" ht="15" customHeight="1" x14ac:dyDescent="0.15">
      <c r="A4" s="4" t="s">
        <v>40</v>
      </c>
      <c r="B4" s="4"/>
      <c r="C4" s="4"/>
      <c r="D4" s="4"/>
      <c r="E4" s="4"/>
    </row>
    <row r="5" spans="1:5" ht="15" customHeight="1" x14ac:dyDescent="0.15">
      <c r="A5" s="9" t="s">
        <v>41</v>
      </c>
      <c r="B5" s="9" t="s">
        <v>16</v>
      </c>
      <c r="C5" s="9" t="s">
        <v>42</v>
      </c>
      <c r="D5" s="9" t="s">
        <v>43</v>
      </c>
      <c r="E5" s="9" t="s">
        <v>44</v>
      </c>
    </row>
    <row r="6" spans="1:5" ht="27.75" customHeight="1" x14ac:dyDescent="0.2">
      <c r="A6" s="15" t="s">
        <v>45</v>
      </c>
      <c r="B6" s="19">
        <v>20000000</v>
      </c>
      <c r="C6" s="15" t="s">
        <v>46</v>
      </c>
      <c r="D6" s="8" t="s">
        <v>47</v>
      </c>
      <c r="E6" s="8" t="s">
        <v>48</v>
      </c>
    </row>
    <row r="7" spans="1:5" ht="27.75" customHeight="1" x14ac:dyDescent="0.2">
      <c r="A7" s="15" t="s">
        <v>49</v>
      </c>
      <c r="B7" s="20">
        <v>1.1527000000000001</v>
      </c>
      <c r="C7" s="15" t="s">
        <v>50</v>
      </c>
      <c r="D7" s="8" t="s">
        <v>51</v>
      </c>
      <c r="E7" s="8" t="s">
        <v>52</v>
      </c>
    </row>
    <row r="8" spans="1:5" ht="27.75" customHeight="1" x14ac:dyDescent="0.2">
      <c r="A8" s="15" t="s">
        <v>53</v>
      </c>
      <c r="B8" s="20">
        <v>1.1650218941282899</v>
      </c>
      <c r="C8" s="15" t="s">
        <v>50</v>
      </c>
      <c r="D8" s="8" t="s">
        <v>54</v>
      </c>
      <c r="E8" s="8" t="s">
        <v>55</v>
      </c>
    </row>
    <row r="9" spans="1:5" ht="41.25" customHeight="1" x14ac:dyDescent="0.2">
      <c r="A9" s="15" t="s">
        <v>56</v>
      </c>
      <c r="B9" s="21">
        <v>4.0500000000000001E-2</v>
      </c>
      <c r="C9" s="15" t="s">
        <v>57</v>
      </c>
      <c r="D9" s="8" t="s">
        <v>58</v>
      </c>
      <c r="E9" s="8" t="s">
        <v>59</v>
      </c>
    </row>
    <row r="10" spans="1:5" ht="41.25" customHeight="1" x14ac:dyDescent="0.2">
      <c r="A10" s="15" t="s">
        <v>60</v>
      </c>
      <c r="B10" s="21">
        <v>2.964E-2</v>
      </c>
      <c r="C10" s="15" t="s">
        <v>57</v>
      </c>
      <c r="D10" s="8" t="s">
        <v>61</v>
      </c>
      <c r="E10" s="8" t="s">
        <v>62</v>
      </c>
    </row>
    <row r="11" spans="1:5" ht="27.75" customHeight="1" x14ac:dyDescent="0.2">
      <c r="A11" s="15" t="s">
        <v>63</v>
      </c>
      <c r="B11" s="20">
        <v>1.1527000000000001</v>
      </c>
      <c r="C11" s="15" t="s">
        <v>50</v>
      </c>
      <c r="D11" s="8" t="s">
        <v>64</v>
      </c>
      <c r="E11" s="8" t="s">
        <v>65</v>
      </c>
    </row>
    <row r="12" spans="1:5" ht="27.75" customHeight="1" x14ac:dyDescent="0.2">
      <c r="A12" s="15" t="s">
        <v>66</v>
      </c>
      <c r="B12" s="20">
        <v>1.1527000000000001</v>
      </c>
      <c r="C12" s="15" t="s">
        <v>50</v>
      </c>
      <c r="D12" s="8" t="s">
        <v>67</v>
      </c>
      <c r="E12" s="8" t="s">
        <v>65</v>
      </c>
    </row>
    <row r="13" spans="1:5" ht="41.25" customHeight="1" x14ac:dyDescent="0.2">
      <c r="A13" s="15" t="s">
        <v>68</v>
      </c>
      <c r="B13" s="20">
        <v>0.03</v>
      </c>
      <c r="C13" s="15" t="s">
        <v>50</v>
      </c>
      <c r="D13" s="8" t="s">
        <v>69</v>
      </c>
      <c r="E13" s="8" t="s">
        <v>70</v>
      </c>
    </row>
    <row r="14" spans="1:5" ht="41.25" customHeight="1" x14ac:dyDescent="0.2">
      <c r="A14" s="15" t="s">
        <v>71</v>
      </c>
      <c r="B14" s="20">
        <v>0.03</v>
      </c>
      <c r="C14" s="15" t="s">
        <v>50</v>
      </c>
      <c r="D14" s="8" t="s">
        <v>72</v>
      </c>
      <c r="E14" s="8" t="s">
        <v>70</v>
      </c>
    </row>
    <row r="15" spans="1:5" ht="27.75" customHeight="1" x14ac:dyDescent="0.2">
      <c r="A15" s="15" t="s">
        <v>73</v>
      </c>
      <c r="B15" s="19">
        <v>365</v>
      </c>
      <c r="C15" s="15" t="s">
        <v>74</v>
      </c>
      <c r="D15" s="8" t="s">
        <v>75</v>
      </c>
      <c r="E15" s="8" t="s">
        <v>76</v>
      </c>
    </row>
    <row r="18" spans="1:5" ht="15" customHeight="1" x14ac:dyDescent="0.15">
      <c r="A18" s="4" t="s">
        <v>77</v>
      </c>
      <c r="B18" s="4"/>
      <c r="C18" s="4"/>
      <c r="D18" s="4"/>
      <c r="E18" s="4"/>
    </row>
    <row r="19" spans="1:5" ht="15" customHeight="1" x14ac:dyDescent="0.15">
      <c r="A19" s="9" t="s">
        <v>78</v>
      </c>
      <c r="B19" s="9" t="s">
        <v>16</v>
      </c>
      <c r="C19" s="9" t="s">
        <v>42</v>
      </c>
      <c r="D19" s="9" t="s">
        <v>79</v>
      </c>
    </row>
    <row r="20" spans="1:5" ht="15" customHeight="1" x14ac:dyDescent="0.2">
      <c r="A20" s="15" t="s">
        <v>80</v>
      </c>
      <c r="B20" s="22">
        <v>360</v>
      </c>
      <c r="C20" s="15" t="s">
        <v>74</v>
      </c>
      <c r="D20" s="15" t="s">
        <v>81</v>
      </c>
    </row>
    <row r="21" spans="1:5" ht="15" customHeight="1" x14ac:dyDescent="0.2">
      <c r="A21" s="15" t="s">
        <v>82</v>
      </c>
      <c r="B21" s="22">
        <v>360</v>
      </c>
      <c r="C21" s="15" t="s">
        <v>74</v>
      </c>
      <c r="D21" s="15" t="s">
        <v>83</v>
      </c>
    </row>
    <row r="22" spans="1:5" ht="15" customHeight="1" x14ac:dyDescent="0.2">
      <c r="A22" s="15" t="s">
        <v>84</v>
      </c>
      <c r="B22" s="23">
        <v>0.01</v>
      </c>
      <c r="C22" s="15" t="s">
        <v>85</v>
      </c>
      <c r="D22" s="15" t="s">
        <v>86</v>
      </c>
    </row>
    <row r="23" spans="1:5" ht="15" customHeight="1" x14ac:dyDescent="0.2">
      <c r="A23" s="15" t="s">
        <v>87</v>
      </c>
      <c r="B23" s="24">
        <v>-5</v>
      </c>
      <c r="C23" s="15" t="s">
        <v>88</v>
      </c>
      <c r="D23" s="15" t="s">
        <v>89</v>
      </c>
    </row>
  </sheetData>
  <mergeCells count="4">
    <mergeCell ref="A1:E1"/>
    <mergeCell ref="A2:E2"/>
    <mergeCell ref="A4:E4"/>
    <mergeCell ref="A18:E1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zoomScaleNormal="100" workbookViewId="0">
      <selection sqref="A1:D1"/>
    </sheetView>
  </sheetViews>
  <sheetFormatPr baseColWidth="10" defaultColWidth="8.6640625" defaultRowHeight="13" x14ac:dyDescent="0.15"/>
  <cols>
    <col min="1" max="1" width="30" customWidth="1"/>
    <col min="2" max="2" width="20" customWidth="1"/>
    <col min="3" max="3" width="22" customWidth="1"/>
    <col min="4" max="4" width="54" customWidth="1"/>
  </cols>
  <sheetData>
    <row r="1" spans="1:4" ht="27.75" customHeight="1" x14ac:dyDescent="0.15">
      <c r="A1" s="6" t="s">
        <v>90</v>
      </c>
      <c r="B1" s="6"/>
      <c r="C1" s="6"/>
      <c r="D1" s="6"/>
    </row>
    <row r="2" spans="1:4" ht="21.75" customHeight="1" x14ac:dyDescent="0.15">
      <c r="A2" s="5" t="s">
        <v>91</v>
      </c>
      <c r="B2" s="5"/>
      <c r="C2" s="5"/>
      <c r="D2" s="5"/>
    </row>
    <row r="4" spans="1:4" ht="15" customHeight="1" x14ac:dyDescent="0.15">
      <c r="A4" s="4" t="s">
        <v>92</v>
      </c>
      <c r="B4" s="4"/>
      <c r="C4" s="4"/>
      <c r="D4" s="4"/>
    </row>
    <row r="5" spans="1:4" ht="15" customHeight="1" x14ac:dyDescent="0.15">
      <c r="A5" s="9" t="s">
        <v>93</v>
      </c>
      <c r="B5" s="9" t="s">
        <v>16</v>
      </c>
      <c r="C5" s="9" t="s">
        <v>42</v>
      </c>
      <c r="D5" s="9" t="s">
        <v>94</v>
      </c>
    </row>
    <row r="6" spans="1:4" ht="15" customHeight="1" x14ac:dyDescent="0.2">
      <c r="A6" s="15" t="s">
        <v>95</v>
      </c>
      <c r="B6" s="25">
        <f>FC_AMT</f>
        <v>20000000</v>
      </c>
      <c r="C6" s="15" t="s">
        <v>46</v>
      </c>
      <c r="D6" s="8" t="s">
        <v>96</v>
      </c>
    </row>
    <row r="7" spans="1:4" ht="15" customHeight="1" x14ac:dyDescent="0.2">
      <c r="A7" s="15" t="s">
        <v>97</v>
      </c>
      <c r="B7" s="26">
        <f>F0_in</f>
        <v>1.1650218941282899</v>
      </c>
      <c r="C7" s="15" t="s">
        <v>50</v>
      </c>
      <c r="D7" s="8" t="s">
        <v>98</v>
      </c>
    </row>
    <row r="8" spans="1:4" ht="15" customHeight="1" x14ac:dyDescent="0.2">
      <c r="A8" s="15" t="s">
        <v>99</v>
      </c>
      <c r="B8" s="15" t="s">
        <v>100</v>
      </c>
      <c r="C8" s="15" t="s">
        <v>101</v>
      </c>
      <c r="D8" s="8" t="s">
        <v>102</v>
      </c>
    </row>
    <row r="9" spans="1:4" ht="15" customHeight="1" x14ac:dyDescent="0.2">
      <c r="A9" s="15" t="s">
        <v>103</v>
      </c>
      <c r="B9" s="27">
        <f>FC_AMT*F0_in</f>
        <v>23300437.8825658</v>
      </c>
      <c r="C9" s="15" t="s">
        <v>104</v>
      </c>
      <c r="D9" s="8" t="s">
        <v>105</v>
      </c>
    </row>
    <row r="10" spans="1:4" ht="15" customHeight="1" x14ac:dyDescent="0.2">
      <c r="A10" s="15" t="s">
        <v>106</v>
      </c>
      <c r="B10" s="15" t="s">
        <v>107</v>
      </c>
      <c r="C10" s="15" t="s">
        <v>108</v>
      </c>
      <c r="D10" s="8" t="s">
        <v>109</v>
      </c>
    </row>
    <row r="11" spans="1:4" ht="15" customHeight="1" x14ac:dyDescent="0.2">
      <c r="A11" s="15" t="s">
        <v>110</v>
      </c>
      <c r="B11" s="15" t="s">
        <v>111</v>
      </c>
      <c r="C11" s="15" t="s">
        <v>112</v>
      </c>
      <c r="D11" s="8" t="s">
        <v>113</v>
      </c>
    </row>
  </sheetData>
  <mergeCells count="3">
    <mergeCell ref="A1:D1"/>
    <mergeCell ref="A2:D2"/>
    <mergeCell ref="A4:D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showGridLines="0" zoomScaleNormal="100" workbookViewId="0">
      <selection sqref="A1:D1"/>
    </sheetView>
  </sheetViews>
  <sheetFormatPr baseColWidth="10" defaultColWidth="8.6640625" defaultRowHeight="13" x14ac:dyDescent="0.15"/>
  <cols>
    <col min="1" max="1" width="34" customWidth="1"/>
    <col min="2" max="2" width="20" customWidth="1"/>
    <col min="3" max="3" width="19" customWidth="1"/>
    <col min="4" max="4" width="58" customWidth="1"/>
  </cols>
  <sheetData>
    <row r="1" spans="1:4" ht="27.75" customHeight="1" x14ac:dyDescent="0.15">
      <c r="A1" s="6" t="s">
        <v>114</v>
      </c>
      <c r="B1" s="6"/>
      <c r="C1" s="6"/>
      <c r="D1" s="6"/>
    </row>
    <row r="2" spans="1:4" ht="21.75" customHeight="1" x14ac:dyDescent="0.15">
      <c r="A2" s="5" t="s">
        <v>115</v>
      </c>
      <c r="B2" s="5"/>
      <c r="C2" s="5"/>
      <c r="D2" s="5"/>
    </row>
    <row r="4" spans="1:4" ht="15" customHeight="1" x14ac:dyDescent="0.15">
      <c r="A4" s="4" t="s">
        <v>116</v>
      </c>
      <c r="B4" s="4"/>
      <c r="C4" s="4"/>
      <c r="D4" s="4"/>
    </row>
    <row r="5" spans="1:4" ht="15" customHeight="1" x14ac:dyDescent="0.15">
      <c r="A5" s="9" t="s">
        <v>93</v>
      </c>
      <c r="B5" s="9" t="s">
        <v>16</v>
      </c>
      <c r="C5" s="9" t="s">
        <v>42</v>
      </c>
      <c r="D5" s="9" t="s">
        <v>94</v>
      </c>
    </row>
    <row r="6" spans="1:4" ht="15" customHeight="1" x14ac:dyDescent="0.2">
      <c r="A6" s="15" t="s">
        <v>117</v>
      </c>
      <c r="B6" s="28">
        <f>1+R_USD*T_DAYS/BASIS_USD</f>
        <v>1.0410625</v>
      </c>
      <c r="C6" s="15" t="s">
        <v>118</v>
      </c>
      <c r="D6" s="8" t="s">
        <v>119</v>
      </c>
    </row>
    <row r="7" spans="1:4" ht="15" customHeight="1" x14ac:dyDescent="0.2">
      <c r="A7" s="15" t="s">
        <v>120</v>
      </c>
      <c r="B7" s="28">
        <f>1+R_FC*T_DAYS/BASIS_FC</f>
        <v>1.0300516666666666</v>
      </c>
      <c r="C7" s="15" t="s">
        <v>118</v>
      </c>
      <c r="D7" s="8" t="s">
        <v>121</v>
      </c>
    </row>
    <row r="8" spans="1:4" ht="15" customHeight="1" x14ac:dyDescent="0.2">
      <c r="A8" s="15" t="s">
        <v>122</v>
      </c>
      <c r="B8" s="25">
        <f>FC_AMT/DF_FC</f>
        <v>19416501.761238515</v>
      </c>
      <c r="C8" s="15" t="s">
        <v>46</v>
      </c>
      <c r="D8" s="8" t="s">
        <v>123</v>
      </c>
    </row>
    <row r="9" spans="1:4" ht="15" customHeight="1" x14ac:dyDescent="0.2">
      <c r="A9" s="15" t="s">
        <v>124</v>
      </c>
      <c r="B9" s="29">
        <f>EUR_BORROW*S0_in</f>
        <v>22381401.580179639</v>
      </c>
      <c r="C9" s="15" t="s">
        <v>104</v>
      </c>
      <c r="D9" s="8" t="s">
        <v>125</v>
      </c>
    </row>
    <row r="10" spans="1:4" ht="15" customHeight="1" x14ac:dyDescent="0.2">
      <c r="A10" s="15" t="s">
        <v>126</v>
      </c>
      <c r="B10" s="27">
        <f>USD_TODAY*DF_USD</f>
        <v>23300437.882565767</v>
      </c>
      <c r="C10" s="15" t="s">
        <v>104</v>
      </c>
      <c r="D10" s="8" t="s">
        <v>127</v>
      </c>
    </row>
    <row r="11" spans="1:4" ht="15" customHeight="1" x14ac:dyDescent="0.2">
      <c r="A11" s="15" t="s">
        <v>128</v>
      </c>
      <c r="B11" s="27">
        <f>USD_FWD</f>
        <v>23300437.8825658</v>
      </c>
      <c r="C11" s="15" t="s">
        <v>104</v>
      </c>
      <c r="D11" s="8" t="s">
        <v>129</v>
      </c>
    </row>
    <row r="12" spans="1:4" ht="15" customHeight="1" x14ac:dyDescent="0.2">
      <c r="A12" s="15" t="s">
        <v>130</v>
      </c>
      <c r="B12" s="27">
        <f>USD_MM-USD_FWD</f>
        <v>-3.3527612686157227E-8</v>
      </c>
      <c r="C12" s="15" t="s">
        <v>104</v>
      </c>
      <c r="D12" s="8" t="s">
        <v>131</v>
      </c>
    </row>
    <row r="13" spans="1:4" ht="15" customHeight="1" x14ac:dyDescent="0.2">
      <c r="A13" s="15" t="s">
        <v>132</v>
      </c>
      <c r="B13" s="30">
        <v>1</v>
      </c>
      <c r="C13" s="15" t="s">
        <v>104</v>
      </c>
      <c r="D13" s="8" t="s">
        <v>133</v>
      </c>
    </row>
    <row r="14" spans="1:4" ht="15" customHeight="1" x14ac:dyDescent="0.2">
      <c r="A14" s="15" t="s">
        <v>134</v>
      </c>
      <c r="B14" s="13" t="str">
        <f>IF(ABS(PARITY_GAP)&lt;=PARITY_TOL,"PASS","FAIL")</f>
        <v>PASS</v>
      </c>
      <c r="C14" s="15" t="s">
        <v>135</v>
      </c>
      <c r="D14" s="8" t="s">
        <v>136</v>
      </c>
    </row>
    <row r="15" spans="1:4" ht="15" customHeight="1" x14ac:dyDescent="0.2">
      <c r="A15" s="15" t="s">
        <v>137</v>
      </c>
      <c r="B15" s="15" t="s">
        <v>138</v>
      </c>
      <c r="C15" s="15"/>
      <c r="D15" s="8" t="s">
        <v>139</v>
      </c>
    </row>
  </sheetData>
  <mergeCells count="3">
    <mergeCell ref="A1:D1"/>
    <mergeCell ref="A2:D2"/>
    <mergeCell ref="A4:D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showGridLines="0" zoomScaleNormal="100" workbookViewId="0">
      <selection sqref="A1:D1"/>
    </sheetView>
  </sheetViews>
  <sheetFormatPr baseColWidth="10" defaultColWidth="8.6640625" defaultRowHeight="13" x14ac:dyDescent="0.15"/>
  <cols>
    <col min="1" max="1" width="34" customWidth="1"/>
    <col min="2" max="2" width="21" customWidth="1"/>
    <col min="3" max="3" width="19" customWidth="1"/>
    <col min="4" max="4" width="58" customWidth="1"/>
  </cols>
  <sheetData>
    <row r="1" spans="1:4" ht="27.75" customHeight="1" x14ac:dyDescent="0.15">
      <c r="A1" s="6" t="s">
        <v>140</v>
      </c>
      <c r="B1" s="6"/>
      <c r="C1" s="6"/>
      <c r="D1" s="6"/>
    </row>
    <row r="2" spans="1:4" ht="21.75" customHeight="1" x14ac:dyDescent="0.15">
      <c r="A2" s="5" t="s">
        <v>141</v>
      </c>
      <c r="B2" s="5"/>
      <c r="C2" s="5"/>
      <c r="D2" s="5"/>
    </row>
    <row r="4" spans="1:4" ht="15" customHeight="1" x14ac:dyDescent="0.15">
      <c r="A4" s="4" t="s">
        <v>142</v>
      </c>
      <c r="B4" s="4"/>
      <c r="C4" s="4"/>
      <c r="D4" s="4"/>
    </row>
    <row r="5" spans="1:4" ht="15" customHeight="1" x14ac:dyDescent="0.15">
      <c r="A5" s="9" t="s">
        <v>93</v>
      </c>
      <c r="B5" s="9" t="s">
        <v>16</v>
      </c>
      <c r="C5" s="9" t="s">
        <v>42</v>
      </c>
      <c r="D5" s="9" t="s">
        <v>94</v>
      </c>
    </row>
    <row r="6" spans="1:4" ht="15" customHeight="1" x14ac:dyDescent="0.2">
      <c r="A6" s="15" t="s">
        <v>143</v>
      </c>
      <c r="B6" s="26">
        <f>S0_in</f>
        <v>1.1527000000000001</v>
      </c>
      <c r="C6" s="15" t="s">
        <v>50</v>
      </c>
      <c r="D6" s="8" t="s">
        <v>144</v>
      </c>
    </row>
    <row r="7" spans="1:4" ht="15" customHeight="1" x14ac:dyDescent="0.2">
      <c r="A7" s="15" t="s">
        <v>145</v>
      </c>
      <c r="B7" s="29">
        <f>PREM_PUT*FC_AMT</f>
        <v>600000</v>
      </c>
      <c r="C7" s="15" t="s">
        <v>104</v>
      </c>
      <c r="D7" s="8" t="s">
        <v>146</v>
      </c>
    </row>
    <row r="8" spans="1:4" ht="15" customHeight="1" x14ac:dyDescent="0.2">
      <c r="A8" s="15" t="s">
        <v>147</v>
      </c>
      <c r="B8" s="29">
        <f>PREMIUM_TOTAL_PUT*DF_USD</f>
        <v>624637.5</v>
      </c>
      <c r="C8" s="15" t="s">
        <v>104</v>
      </c>
      <c r="D8" s="8" t="s">
        <v>148</v>
      </c>
    </row>
    <row r="9" spans="1:4" ht="15" customHeight="1" x14ac:dyDescent="0.2">
      <c r="A9" s="15" t="s">
        <v>149</v>
      </c>
      <c r="B9" s="29">
        <f>MAX(0,K_PUT-S_T_BASE)*FC_AMT</f>
        <v>0</v>
      </c>
      <c r="C9" s="15" t="s">
        <v>104</v>
      </c>
      <c r="D9" s="8" t="s">
        <v>150</v>
      </c>
    </row>
    <row r="10" spans="1:4" ht="15" customHeight="1" x14ac:dyDescent="0.2">
      <c r="A10" s="15" t="s">
        <v>151</v>
      </c>
      <c r="B10" s="27">
        <f>S_T_BASE*FC_AMT+PUT_PAYOFF-FV_PREMIUM_PUT</f>
        <v>22429362.5</v>
      </c>
      <c r="C10" s="15" t="s">
        <v>104</v>
      </c>
      <c r="D10" s="8" t="s">
        <v>152</v>
      </c>
    </row>
    <row r="11" spans="1:4" ht="15" customHeight="1" x14ac:dyDescent="0.2">
      <c r="A11" s="15" t="s">
        <v>153</v>
      </c>
      <c r="B11" s="27">
        <f>MIN(Sensitivity!F13:F23)</f>
        <v>22429362.5</v>
      </c>
      <c r="C11" s="15" t="s">
        <v>104</v>
      </c>
      <c r="D11" s="8" t="s">
        <v>154</v>
      </c>
    </row>
    <row r="12" spans="1:4" ht="15" customHeight="1" x14ac:dyDescent="0.2">
      <c r="A12" s="15"/>
      <c r="B12" s="15"/>
      <c r="C12" s="15"/>
      <c r="D12" s="8"/>
    </row>
    <row r="13" spans="1:4" ht="15" customHeight="1" x14ac:dyDescent="0.2">
      <c r="A13" s="15" t="s">
        <v>155</v>
      </c>
      <c r="B13" s="29">
        <f>PREM_CALL*FC_AMT</f>
        <v>600000</v>
      </c>
      <c r="C13" s="15" t="s">
        <v>104</v>
      </c>
      <c r="D13" s="8" t="s">
        <v>156</v>
      </c>
    </row>
    <row r="14" spans="1:4" ht="15" customHeight="1" x14ac:dyDescent="0.2">
      <c r="A14" s="15" t="s">
        <v>157</v>
      </c>
      <c r="B14" s="29">
        <f>PREMIUM_TOTAL_CALL*DF_USD</f>
        <v>624637.5</v>
      </c>
      <c r="C14" s="15" t="s">
        <v>104</v>
      </c>
      <c r="D14" s="8" t="s">
        <v>158</v>
      </c>
    </row>
    <row r="15" spans="1:4" ht="15" customHeight="1" x14ac:dyDescent="0.2">
      <c r="A15" s="15" t="s">
        <v>159</v>
      </c>
      <c r="B15" s="29">
        <f>MAX(0,S_T_BASE-K_CALL)*FC_AMT</f>
        <v>0</v>
      </c>
      <c r="C15" s="15" t="s">
        <v>104</v>
      </c>
      <c r="D15" s="8" t="s">
        <v>160</v>
      </c>
    </row>
    <row r="16" spans="1:4" ht="15" customHeight="1" x14ac:dyDescent="0.2">
      <c r="A16" s="15" t="s">
        <v>161</v>
      </c>
      <c r="B16" s="27">
        <f>MIN(S_T_BASE,K_CALL)*FC_AMT+FV_PREMIUM_CALL</f>
        <v>23678637.5</v>
      </c>
      <c r="C16" s="15" t="s">
        <v>104</v>
      </c>
      <c r="D16" s="8" t="s">
        <v>162</v>
      </c>
    </row>
    <row r="17" spans="1:4" ht="15" customHeight="1" x14ac:dyDescent="0.2">
      <c r="A17" s="15" t="s">
        <v>163</v>
      </c>
      <c r="B17" s="15" t="s">
        <v>164</v>
      </c>
      <c r="C17" s="15"/>
      <c r="D17" s="8" t="s">
        <v>165</v>
      </c>
    </row>
    <row r="18" spans="1:4" ht="15" customHeight="1" x14ac:dyDescent="0.2">
      <c r="A18" s="15" t="s">
        <v>110</v>
      </c>
      <c r="B18" s="15" t="s">
        <v>111</v>
      </c>
      <c r="C18" s="15" t="s">
        <v>112</v>
      </c>
      <c r="D18" s="8" t="s">
        <v>166</v>
      </c>
    </row>
    <row r="19" spans="1:4" ht="15" customHeight="1" x14ac:dyDescent="0.2">
      <c r="A19" s="15"/>
      <c r="B19" s="15"/>
      <c r="C19" s="15"/>
      <c r="D19" s="8"/>
    </row>
    <row r="21" spans="1:4" ht="15" customHeight="1" x14ac:dyDescent="0.15">
      <c r="A21" s="4" t="s">
        <v>167</v>
      </c>
      <c r="B21" s="4"/>
      <c r="C21" s="4"/>
      <c r="D21" s="4"/>
    </row>
    <row r="22" spans="1:4" ht="15" customHeight="1" x14ac:dyDescent="0.15">
      <c r="A22" s="9" t="s">
        <v>168</v>
      </c>
      <c r="B22" s="9" t="s">
        <v>169</v>
      </c>
      <c r="C22" s="9" t="s">
        <v>170</v>
      </c>
      <c r="D22" s="9" t="s">
        <v>171</v>
      </c>
    </row>
    <row r="23" spans="1:4" ht="15" customHeight="1" x14ac:dyDescent="0.2">
      <c r="A23" s="31">
        <f>Sensitivity!A13</f>
        <v>-5</v>
      </c>
      <c r="B23" s="26">
        <f>Sensitivity!B13</f>
        <v>1.095065</v>
      </c>
      <c r="C23" s="27">
        <f t="shared" ref="C23:C33" si="0">MAX(0,B23-K_CALL)*FC_AMT</f>
        <v>0</v>
      </c>
      <c r="D23" s="27">
        <f t="shared" ref="D23:D33" si="1">MIN(B23,K_CALL)*FC_AMT+FV_PREMIUM_CALL</f>
        <v>22525937.5</v>
      </c>
    </row>
    <row r="24" spans="1:4" ht="15" customHeight="1" x14ac:dyDescent="0.2">
      <c r="A24" s="31">
        <f>Sensitivity!A14</f>
        <v>-4</v>
      </c>
      <c r="B24" s="26">
        <f>Sensitivity!B14</f>
        <v>1.106592</v>
      </c>
      <c r="C24" s="27">
        <f t="shared" si="0"/>
        <v>0</v>
      </c>
      <c r="D24" s="27">
        <f t="shared" si="1"/>
        <v>22756477.5</v>
      </c>
    </row>
    <row r="25" spans="1:4" ht="15" customHeight="1" x14ac:dyDescent="0.2">
      <c r="A25" s="31">
        <f>Sensitivity!A15</f>
        <v>-3</v>
      </c>
      <c r="B25" s="26">
        <f>Sensitivity!B15</f>
        <v>1.1181190000000001</v>
      </c>
      <c r="C25" s="27">
        <f t="shared" si="0"/>
        <v>0</v>
      </c>
      <c r="D25" s="27">
        <f t="shared" si="1"/>
        <v>22987017.5</v>
      </c>
    </row>
    <row r="26" spans="1:4" ht="15" customHeight="1" x14ac:dyDescent="0.2">
      <c r="A26" s="31">
        <f>Sensitivity!A16</f>
        <v>-2</v>
      </c>
      <c r="B26" s="26">
        <f>Sensitivity!B16</f>
        <v>1.1296459999999999</v>
      </c>
      <c r="C26" s="27">
        <f t="shared" si="0"/>
        <v>0</v>
      </c>
      <c r="D26" s="27">
        <f t="shared" si="1"/>
        <v>23217557.5</v>
      </c>
    </row>
    <row r="27" spans="1:4" ht="15" customHeight="1" x14ac:dyDescent="0.2">
      <c r="A27" s="31">
        <f>Sensitivity!A17</f>
        <v>-1</v>
      </c>
      <c r="B27" s="26">
        <f>Sensitivity!B17</f>
        <v>1.141173</v>
      </c>
      <c r="C27" s="27">
        <f t="shared" si="0"/>
        <v>0</v>
      </c>
      <c r="D27" s="27">
        <f t="shared" si="1"/>
        <v>23448097.5</v>
      </c>
    </row>
    <row r="28" spans="1:4" ht="15" customHeight="1" x14ac:dyDescent="0.2">
      <c r="A28" s="31">
        <f>Sensitivity!A18</f>
        <v>0</v>
      </c>
      <c r="B28" s="26">
        <f>Sensitivity!B18</f>
        <v>1.1527000000000001</v>
      </c>
      <c r="C28" s="27">
        <f t="shared" si="0"/>
        <v>0</v>
      </c>
      <c r="D28" s="27">
        <f t="shared" si="1"/>
        <v>23678637.5</v>
      </c>
    </row>
    <row r="29" spans="1:4" ht="15" customHeight="1" x14ac:dyDescent="0.2">
      <c r="A29" s="31">
        <f>Sensitivity!A19</f>
        <v>1</v>
      </c>
      <c r="B29" s="26">
        <f>Sensitivity!B19</f>
        <v>1.1642270000000001</v>
      </c>
      <c r="C29" s="27">
        <f t="shared" si="0"/>
        <v>230540.00000000131</v>
      </c>
      <c r="D29" s="27">
        <f t="shared" si="1"/>
        <v>23678637.5</v>
      </c>
    </row>
    <row r="30" spans="1:4" ht="15" customHeight="1" x14ac:dyDescent="0.2">
      <c r="A30" s="31">
        <f>Sensitivity!A20</f>
        <v>2</v>
      </c>
      <c r="B30" s="26">
        <f>Sensitivity!B20</f>
        <v>1.1757540000000002</v>
      </c>
      <c r="C30" s="27">
        <f t="shared" si="0"/>
        <v>461080.00000000262</v>
      </c>
      <c r="D30" s="27">
        <f t="shared" si="1"/>
        <v>23678637.5</v>
      </c>
    </row>
    <row r="31" spans="1:4" ht="15" customHeight="1" x14ac:dyDescent="0.2">
      <c r="A31" s="31">
        <f>Sensitivity!A21</f>
        <v>3</v>
      </c>
      <c r="B31" s="26">
        <f>Sensitivity!B21</f>
        <v>1.187281</v>
      </c>
      <c r="C31" s="27">
        <f t="shared" si="0"/>
        <v>691619.99999999942</v>
      </c>
      <c r="D31" s="27">
        <f t="shared" si="1"/>
        <v>23678637.5</v>
      </c>
    </row>
    <row r="32" spans="1:4" ht="15" customHeight="1" x14ac:dyDescent="0.2">
      <c r="A32" s="31">
        <f>Sensitivity!A22</f>
        <v>4</v>
      </c>
      <c r="B32" s="26">
        <f>Sensitivity!B22</f>
        <v>1.1988080000000001</v>
      </c>
      <c r="C32" s="27">
        <f t="shared" si="0"/>
        <v>922160.00000000081</v>
      </c>
      <c r="D32" s="27">
        <f t="shared" si="1"/>
        <v>23678637.5</v>
      </c>
    </row>
    <row r="33" spans="1:4" ht="15" customHeight="1" x14ac:dyDescent="0.2">
      <c r="A33" s="31">
        <f>Sensitivity!A23</f>
        <v>5</v>
      </c>
      <c r="B33" s="26">
        <f>Sensitivity!B23</f>
        <v>1.2103350000000002</v>
      </c>
      <c r="C33" s="27">
        <f t="shared" si="0"/>
        <v>1152700.0000000021</v>
      </c>
      <c r="D33" s="27">
        <f t="shared" si="1"/>
        <v>23678637.5</v>
      </c>
    </row>
  </sheetData>
  <mergeCells count="4">
    <mergeCell ref="A1:D1"/>
    <mergeCell ref="A2:D2"/>
    <mergeCell ref="A4:D4"/>
    <mergeCell ref="A21:D2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3"/>
  <sheetViews>
    <sheetView showGridLines="0" zoomScaleNormal="100" workbookViewId="0">
      <selection sqref="A1:Q1"/>
    </sheetView>
  </sheetViews>
  <sheetFormatPr baseColWidth="10" defaultColWidth="8.6640625" defaultRowHeight="13" x14ac:dyDescent="0.15"/>
  <cols>
    <col min="1" max="1" width="12" customWidth="1"/>
    <col min="2" max="2" width="16" customWidth="1"/>
    <col min="3" max="8" width="19" customWidth="1"/>
    <col min="9" max="10" width="20" customWidth="1"/>
    <col min="11" max="17" width="4" customWidth="1"/>
  </cols>
  <sheetData>
    <row r="1" spans="1:17" ht="27.75" customHeight="1" x14ac:dyDescent="0.15">
      <c r="A1" s="6" t="s">
        <v>172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1.75" customHeight="1" x14ac:dyDescent="0.15">
      <c r="A2" s="5" t="s">
        <v>173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4" spans="1:17" ht="15" customHeight="1" x14ac:dyDescent="0.15">
      <c r="A4" s="4" t="s">
        <v>174</v>
      </c>
      <c r="B4" s="4"/>
      <c r="C4" s="4"/>
      <c r="D4" s="4"/>
      <c r="E4" s="4"/>
      <c r="F4" s="4"/>
      <c r="G4" s="4"/>
      <c r="H4" s="4"/>
      <c r="I4" s="4"/>
    </row>
    <row r="5" spans="1:17" ht="15" customHeight="1" x14ac:dyDescent="0.15">
      <c r="A5" s="9" t="s">
        <v>15</v>
      </c>
      <c r="B5" s="9" t="s">
        <v>16</v>
      </c>
    </row>
    <row r="6" spans="1:17" ht="15" customHeight="1" x14ac:dyDescent="0.2">
      <c r="A6" t="s">
        <v>175</v>
      </c>
      <c r="B6" s="10">
        <f>S_T_BASE*FC_AMT</f>
        <v>23054000</v>
      </c>
    </row>
    <row r="7" spans="1:17" ht="15" customHeight="1" x14ac:dyDescent="0.2">
      <c r="A7" t="s">
        <v>176</v>
      </c>
      <c r="B7" s="11">
        <f>USD_FWD</f>
        <v>23300437.8825658</v>
      </c>
    </row>
    <row r="8" spans="1:17" ht="15" customHeight="1" x14ac:dyDescent="0.2">
      <c r="A8" t="s">
        <v>18</v>
      </c>
      <c r="B8" s="11">
        <f>USD_MM</f>
        <v>23300437.882565767</v>
      </c>
    </row>
    <row r="9" spans="1:17" ht="15" customHeight="1" x14ac:dyDescent="0.2">
      <c r="A9" t="s">
        <v>177</v>
      </c>
      <c r="B9" s="12">
        <f>USD_PUT_BASE</f>
        <v>22429362.5</v>
      </c>
    </row>
    <row r="11" spans="1:17" ht="15" customHeight="1" x14ac:dyDescent="0.15">
      <c r="A11" s="4" t="s">
        <v>178</v>
      </c>
      <c r="B11" s="4"/>
      <c r="C11" s="4"/>
      <c r="D11" s="4"/>
      <c r="E11" s="4"/>
      <c r="F11" s="4"/>
      <c r="G11" s="4"/>
      <c r="H11" s="4"/>
      <c r="I11" s="4"/>
    </row>
    <row r="12" spans="1:17" ht="15" customHeight="1" x14ac:dyDescent="0.15">
      <c r="A12" s="9" t="s">
        <v>168</v>
      </c>
      <c r="B12" s="9" t="s">
        <v>169</v>
      </c>
      <c r="C12" s="9" t="s">
        <v>179</v>
      </c>
      <c r="D12" s="9" t="s">
        <v>180</v>
      </c>
      <c r="E12" s="9" t="s">
        <v>181</v>
      </c>
      <c r="F12" s="9" t="s">
        <v>182</v>
      </c>
      <c r="G12" s="9" t="s">
        <v>183</v>
      </c>
      <c r="H12" s="9" t="s">
        <v>184</v>
      </c>
      <c r="I12" s="9" t="s">
        <v>185</v>
      </c>
      <c r="J12" s="9" t="s">
        <v>186</v>
      </c>
    </row>
    <row r="13" spans="1:17" ht="15" customHeight="1" x14ac:dyDescent="0.2">
      <c r="A13" s="31">
        <f>GRID_MIN</f>
        <v>-5</v>
      </c>
      <c r="B13" s="26">
        <f t="shared" ref="B13:B23" si="0">S0_in*(1+A13*STEP_FRAC)</f>
        <v>1.095065</v>
      </c>
      <c r="C13" s="27">
        <f t="shared" ref="C13:C23" si="1">B13*FC_AMT</f>
        <v>21901300</v>
      </c>
      <c r="D13" s="27">
        <f t="shared" ref="D13:D23" si="2">USD_FWD</f>
        <v>23300437.8825658</v>
      </c>
      <c r="E13" s="27">
        <f t="shared" ref="E13:E23" si="3">USD_MM</f>
        <v>23300437.882565767</v>
      </c>
      <c r="F13" s="27">
        <f t="shared" ref="F13:F23" si="4">MAX(B13,K_PUT)*FC_AMT-FV_PREMIUM_PUT</f>
        <v>22429362.5</v>
      </c>
      <c r="G13" s="27">
        <f t="shared" ref="G13:G23" si="5">D13-C13</f>
        <v>1399137.8825658001</v>
      </c>
      <c r="H13" s="27">
        <f t="shared" ref="H13:H23" si="6">E13-C13</f>
        <v>1399137.8825657666</v>
      </c>
      <c r="I13" s="27">
        <f t="shared" ref="I13:I23" si="7">F13-C13</f>
        <v>528062.5</v>
      </c>
      <c r="J13" s="27" t="str">
        <f t="shared" ref="J13:J23" si="8">IF(C13=MAX(C13:F13),"No Hedge",IF(D13=MAX(C13:F13),"Forward",IF(E13=MAX(C13:F13),"Money Market","Put")))</f>
        <v>Forward</v>
      </c>
    </row>
    <row r="14" spans="1:17" ht="15" customHeight="1" x14ac:dyDescent="0.2">
      <c r="A14" s="31">
        <f t="shared" ref="A14:A23" si="9">A13+1</f>
        <v>-4</v>
      </c>
      <c r="B14" s="26">
        <f t="shared" si="0"/>
        <v>1.106592</v>
      </c>
      <c r="C14" s="27">
        <f t="shared" si="1"/>
        <v>22131840</v>
      </c>
      <c r="D14" s="27">
        <f t="shared" si="2"/>
        <v>23300437.8825658</v>
      </c>
      <c r="E14" s="27">
        <f t="shared" si="3"/>
        <v>23300437.882565767</v>
      </c>
      <c r="F14" s="27">
        <f t="shared" si="4"/>
        <v>22429362.5</v>
      </c>
      <c r="G14" s="27">
        <f t="shared" si="5"/>
        <v>1168597.8825658001</v>
      </c>
      <c r="H14" s="27">
        <f t="shared" si="6"/>
        <v>1168597.8825657666</v>
      </c>
      <c r="I14" s="27">
        <f t="shared" si="7"/>
        <v>297522.5</v>
      </c>
      <c r="J14" s="27" t="str">
        <f t="shared" si="8"/>
        <v>Forward</v>
      </c>
    </row>
    <row r="15" spans="1:17" ht="15" customHeight="1" x14ac:dyDescent="0.2">
      <c r="A15" s="31">
        <f t="shared" si="9"/>
        <v>-3</v>
      </c>
      <c r="B15" s="26">
        <f t="shared" si="0"/>
        <v>1.1181190000000001</v>
      </c>
      <c r="C15" s="27">
        <f t="shared" si="1"/>
        <v>22362380</v>
      </c>
      <c r="D15" s="27">
        <f t="shared" si="2"/>
        <v>23300437.8825658</v>
      </c>
      <c r="E15" s="27">
        <f t="shared" si="3"/>
        <v>23300437.882565767</v>
      </c>
      <c r="F15" s="27">
        <f t="shared" si="4"/>
        <v>22429362.5</v>
      </c>
      <c r="G15" s="27">
        <f t="shared" si="5"/>
        <v>938057.8825658001</v>
      </c>
      <c r="H15" s="27">
        <f t="shared" si="6"/>
        <v>938057.88256576657</v>
      </c>
      <c r="I15" s="27">
        <f t="shared" si="7"/>
        <v>66982.5</v>
      </c>
      <c r="J15" s="27" t="str">
        <f t="shared" si="8"/>
        <v>Forward</v>
      </c>
    </row>
    <row r="16" spans="1:17" ht="15" customHeight="1" x14ac:dyDescent="0.2">
      <c r="A16" s="31">
        <f t="shared" si="9"/>
        <v>-2</v>
      </c>
      <c r="B16" s="26">
        <f t="shared" si="0"/>
        <v>1.1296459999999999</v>
      </c>
      <c r="C16" s="27">
        <f t="shared" si="1"/>
        <v>22592920</v>
      </c>
      <c r="D16" s="27">
        <f t="shared" si="2"/>
        <v>23300437.8825658</v>
      </c>
      <c r="E16" s="27">
        <f t="shared" si="3"/>
        <v>23300437.882565767</v>
      </c>
      <c r="F16" s="27">
        <f t="shared" si="4"/>
        <v>22429362.5</v>
      </c>
      <c r="G16" s="27">
        <f t="shared" si="5"/>
        <v>707517.8825658001</v>
      </c>
      <c r="H16" s="27">
        <f t="shared" si="6"/>
        <v>707517.88256576657</v>
      </c>
      <c r="I16" s="27">
        <f t="shared" si="7"/>
        <v>-163557.5</v>
      </c>
      <c r="J16" s="27" t="str">
        <f t="shared" si="8"/>
        <v>Forward</v>
      </c>
    </row>
    <row r="17" spans="1:10" ht="15" customHeight="1" x14ac:dyDescent="0.2">
      <c r="A17" s="31">
        <f t="shared" si="9"/>
        <v>-1</v>
      </c>
      <c r="B17" s="26">
        <f t="shared" si="0"/>
        <v>1.141173</v>
      </c>
      <c r="C17" s="27">
        <f t="shared" si="1"/>
        <v>22823460</v>
      </c>
      <c r="D17" s="27">
        <f t="shared" si="2"/>
        <v>23300437.8825658</v>
      </c>
      <c r="E17" s="27">
        <f t="shared" si="3"/>
        <v>23300437.882565767</v>
      </c>
      <c r="F17" s="27">
        <f t="shared" si="4"/>
        <v>22429362.5</v>
      </c>
      <c r="G17" s="27">
        <f t="shared" si="5"/>
        <v>476977.8825658001</v>
      </c>
      <c r="H17" s="27">
        <f t="shared" si="6"/>
        <v>476977.88256576657</v>
      </c>
      <c r="I17" s="27">
        <f t="shared" si="7"/>
        <v>-394097.5</v>
      </c>
      <c r="J17" s="27" t="str">
        <f t="shared" si="8"/>
        <v>Forward</v>
      </c>
    </row>
    <row r="18" spans="1:10" ht="15" customHeight="1" x14ac:dyDescent="0.2">
      <c r="A18" s="31">
        <f t="shared" si="9"/>
        <v>0</v>
      </c>
      <c r="B18" s="26">
        <f t="shared" si="0"/>
        <v>1.1527000000000001</v>
      </c>
      <c r="C18" s="27">
        <f t="shared" si="1"/>
        <v>23054000</v>
      </c>
      <c r="D18" s="27">
        <f t="shared" si="2"/>
        <v>23300437.8825658</v>
      </c>
      <c r="E18" s="27">
        <f t="shared" si="3"/>
        <v>23300437.882565767</v>
      </c>
      <c r="F18" s="27">
        <f t="shared" si="4"/>
        <v>22429362.5</v>
      </c>
      <c r="G18" s="27">
        <f t="shared" si="5"/>
        <v>246437.8825658001</v>
      </c>
      <c r="H18" s="27">
        <f t="shared" si="6"/>
        <v>246437.88256576657</v>
      </c>
      <c r="I18" s="27">
        <f t="shared" si="7"/>
        <v>-624637.5</v>
      </c>
      <c r="J18" s="27" t="str">
        <f t="shared" si="8"/>
        <v>Forward</v>
      </c>
    </row>
    <row r="19" spans="1:10" ht="15" customHeight="1" x14ac:dyDescent="0.2">
      <c r="A19" s="31">
        <f t="shared" si="9"/>
        <v>1</v>
      </c>
      <c r="B19" s="26">
        <f t="shared" si="0"/>
        <v>1.1642270000000001</v>
      </c>
      <c r="C19" s="27">
        <f t="shared" si="1"/>
        <v>23284540.000000004</v>
      </c>
      <c r="D19" s="27">
        <f t="shared" si="2"/>
        <v>23300437.8825658</v>
      </c>
      <c r="E19" s="27">
        <f t="shared" si="3"/>
        <v>23300437.882565767</v>
      </c>
      <c r="F19" s="27">
        <f t="shared" si="4"/>
        <v>22659902.500000004</v>
      </c>
      <c r="G19" s="27">
        <f t="shared" si="5"/>
        <v>15897.882565796375</v>
      </c>
      <c r="H19" s="27">
        <f t="shared" si="6"/>
        <v>15897.882565762848</v>
      </c>
      <c r="I19" s="27">
        <f t="shared" si="7"/>
        <v>-624637.5</v>
      </c>
      <c r="J19" s="27" t="str">
        <f t="shared" si="8"/>
        <v>Forward</v>
      </c>
    </row>
    <row r="20" spans="1:10" ht="15" customHeight="1" x14ac:dyDescent="0.2">
      <c r="A20" s="31">
        <f t="shared" si="9"/>
        <v>2</v>
      </c>
      <c r="B20" s="26">
        <f t="shared" si="0"/>
        <v>1.1757540000000002</v>
      </c>
      <c r="C20" s="27">
        <f t="shared" si="1"/>
        <v>23515080.000000004</v>
      </c>
      <c r="D20" s="27">
        <f t="shared" si="2"/>
        <v>23300437.8825658</v>
      </c>
      <c r="E20" s="27">
        <f t="shared" si="3"/>
        <v>23300437.882565767</v>
      </c>
      <c r="F20" s="27">
        <f t="shared" si="4"/>
        <v>22890442.500000004</v>
      </c>
      <c r="G20" s="27">
        <f t="shared" si="5"/>
        <v>-214642.11743420362</v>
      </c>
      <c r="H20" s="27">
        <f t="shared" si="6"/>
        <v>-214642.11743423715</v>
      </c>
      <c r="I20" s="27">
        <f t="shared" si="7"/>
        <v>-624637.5</v>
      </c>
      <c r="J20" s="27" t="str">
        <f t="shared" si="8"/>
        <v>No Hedge</v>
      </c>
    </row>
    <row r="21" spans="1:10" ht="15" customHeight="1" x14ac:dyDescent="0.2">
      <c r="A21" s="31">
        <f t="shared" si="9"/>
        <v>3</v>
      </c>
      <c r="B21" s="26">
        <f t="shared" si="0"/>
        <v>1.187281</v>
      </c>
      <c r="C21" s="27">
        <f t="shared" si="1"/>
        <v>23745620</v>
      </c>
      <c r="D21" s="27">
        <f t="shared" si="2"/>
        <v>23300437.8825658</v>
      </c>
      <c r="E21" s="27">
        <f t="shared" si="3"/>
        <v>23300437.882565767</v>
      </c>
      <c r="F21" s="27">
        <f t="shared" si="4"/>
        <v>23120982.5</v>
      </c>
      <c r="G21" s="27">
        <f t="shared" si="5"/>
        <v>-445182.1174341999</v>
      </c>
      <c r="H21" s="27">
        <f t="shared" si="6"/>
        <v>-445182.11743423343</v>
      </c>
      <c r="I21" s="27">
        <f t="shared" si="7"/>
        <v>-624637.5</v>
      </c>
      <c r="J21" s="27" t="str">
        <f t="shared" si="8"/>
        <v>No Hedge</v>
      </c>
    </row>
    <row r="22" spans="1:10" ht="15" customHeight="1" x14ac:dyDescent="0.2">
      <c r="A22" s="31">
        <f t="shared" si="9"/>
        <v>4</v>
      </c>
      <c r="B22" s="26">
        <f t="shared" si="0"/>
        <v>1.1988080000000001</v>
      </c>
      <c r="C22" s="27">
        <f t="shared" si="1"/>
        <v>23976160.000000004</v>
      </c>
      <c r="D22" s="27">
        <f t="shared" si="2"/>
        <v>23300437.8825658</v>
      </c>
      <c r="E22" s="27">
        <f t="shared" si="3"/>
        <v>23300437.882565767</v>
      </c>
      <c r="F22" s="27">
        <f t="shared" si="4"/>
        <v>23351522.500000004</v>
      </c>
      <c r="G22" s="27">
        <f t="shared" si="5"/>
        <v>-675722.11743420362</v>
      </c>
      <c r="H22" s="27">
        <f t="shared" si="6"/>
        <v>-675722.11743423715</v>
      </c>
      <c r="I22" s="27">
        <f t="shared" si="7"/>
        <v>-624637.5</v>
      </c>
      <c r="J22" s="27" t="str">
        <f t="shared" si="8"/>
        <v>No Hedge</v>
      </c>
    </row>
    <row r="23" spans="1:10" ht="15" customHeight="1" x14ac:dyDescent="0.2">
      <c r="A23" s="31">
        <f t="shared" si="9"/>
        <v>5</v>
      </c>
      <c r="B23" s="26">
        <f t="shared" si="0"/>
        <v>1.2103350000000002</v>
      </c>
      <c r="C23" s="27">
        <f t="shared" si="1"/>
        <v>24206700.000000004</v>
      </c>
      <c r="D23" s="27">
        <f t="shared" si="2"/>
        <v>23300437.8825658</v>
      </c>
      <c r="E23" s="27">
        <f t="shared" si="3"/>
        <v>23300437.882565767</v>
      </c>
      <c r="F23" s="27">
        <f t="shared" si="4"/>
        <v>23582062.500000004</v>
      </c>
      <c r="G23" s="27">
        <f t="shared" si="5"/>
        <v>-906262.11743420362</v>
      </c>
      <c r="H23" s="27">
        <f t="shared" si="6"/>
        <v>-906262.11743423715</v>
      </c>
      <c r="I23" s="27">
        <f t="shared" si="7"/>
        <v>-624637.5</v>
      </c>
      <c r="J23" s="27" t="str">
        <f t="shared" si="8"/>
        <v>No Hedge</v>
      </c>
    </row>
  </sheetData>
  <mergeCells count="4">
    <mergeCell ref="A1:Q1"/>
    <mergeCell ref="A2:Q2"/>
    <mergeCell ref="A4:I4"/>
    <mergeCell ref="A11:I1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showGridLines="0" zoomScaleNormal="100" workbookViewId="0">
      <selection sqref="A1:G1"/>
    </sheetView>
  </sheetViews>
  <sheetFormatPr baseColWidth="10" defaultColWidth="8.6640625" defaultRowHeight="13" x14ac:dyDescent="0.15"/>
  <cols>
    <col min="1" max="1" width="28" customWidth="1"/>
    <col min="2" max="4" width="18" customWidth="1"/>
    <col min="5" max="5" width="14" customWidth="1"/>
    <col min="6" max="6" width="16" customWidth="1"/>
    <col min="7" max="7" width="52" customWidth="1"/>
  </cols>
  <sheetData>
    <row r="1" spans="1:7" ht="27.75" customHeight="1" x14ac:dyDescent="0.15">
      <c r="A1" s="6" t="s">
        <v>187</v>
      </c>
      <c r="B1" s="6"/>
      <c r="C1" s="6"/>
      <c r="D1" s="6"/>
      <c r="E1" s="6"/>
      <c r="F1" s="6"/>
      <c r="G1" s="6"/>
    </row>
    <row r="2" spans="1:7" ht="21.75" customHeight="1" x14ac:dyDescent="0.15">
      <c r="A2" s="5" t="s">
        <v>188</v>
      </c>
      <c r="B2" s="5"/>
      <c r="C2" s="5"/>
      <c r="D2" s="5"/>
      <c r="E2" s="5"/>
      <c r="F2" s="5"/>
      <c r="G2" s="5"/>
    </row>
    <row r="4" spans="1:7" ht="15" customHeight="1" x14ac:dyDescent="0.15">
      <c r="A4" s="4" t="s">
        <v>189</v>
      </c>
      <c r="B4" s="4"/>
      <c r="C4" s="4"/>
      <c r="D4" s="4"/>
      <c r="E4" s="4"/>
      <c r="F4" s="4"/>
      <c r="G4" s="4"/>
    </row>
    <row r="5" spans="1:7" ht="15" customHeight="1" x14ac:dyDescent="0.15">
      <c r="A5" s="9" t="s">
        <v>190</v>
      </c>
      <c r="B5" s="9" t="s">
        <v>191</v>
      </c>
      <c r="C5" s="9" t="s">
        <v>192</v>
      </c>
      <c r="D5" s="9" t="s">
        <v>193</v>
      </c>
      <c r="E5" s="9" t="s">
        <v>194</v>
      </c>
      <c r="F5" s="9" t="s">
        <v>195</v>
      </c>
      <c r="G5" s="9" t="s">
        <v>196</v>
      </c>
    </row>
    <row r="6" spans="1:7" ht="15" customHeight="1" x14ac:dyDescent="0.2">
      <c r="A6" s="15" t="s">
        <v>197</v>
      </c>
      <c r="B6" s="29">
        <f>ABS(PARITY_GAP)</f>
        <v>3.3527612686157227E-8</v>
      </c>
      <c r="C6" s="32">
        <v>0</v>
      </c>
      <c r="D6" s="32">
        <f>PARITY_TOL</f>
        <v>1</v>
      </c>
      <c r="E6" s="33" t="str">
        <f>IF(B6&lt;=D6,"PASS","FAIL")</f>
        <v>PASS</v>
      </c>
      <c r="F6" s="15" t="s">
        <v>198</v>
      </c>
      <c r="G6" s="8" t="s">
        <v>199</v>
      </c>
    </row>
    <row r="7" spans="1:7" ht="15" customHeight="1" x14ac:dyDescent="0.2">
      <c r="A7" s="15" t="s">
        <v>200</v>
      </c>
      <c r="B7" s="29">
        <f>MAX(Sensitivity!D13:D23)-MIN(Sensitivity!D13:D23)</f>
        <v>0</v>
      </c>
      <c r="C7" s="32">
        <v>0</v>
      </c>
      <c r="D7" s="32">
        <v>0</v>
      </c>
      <c r="E7" s="33" t="str">
        <f>IF(B7&lt;=D7,"PASS","FAIL")</f>
        <v>PASS</v>
      </c>
      <c r="F7" s="15" t="s">
        <v>201</v>
      </c>
      <c r="G7" s="8" t="s">
        <v>202</v>
      </c>
    </row>
    <row r="8" spans="1:7" ht="15" customHeight="1" x14ac:dyDescent="0.2">
      <c r="A8" s="15" t="s">
        <v>203</v>
      </c>
      <c r="B8" s="29">
        <f>MAX(Sensitivity!E13:E23)-MIN(Sensitivity!E13:E23)</f>
        <v>0</v>
      </c>
      <c r="C8" s="32">
        <v>0</v>
      </c>
      <c r="D8" s="32">
        <v>0</v>
      </c>
      <c r="E8" s="33" t="str">
        <f>IF(B8&lt;=D8,"PASS","FAIL")</f>
        <v>PASS</v>
      </c>
      <c r="F8" s="15" t="s">
        <v>201</v>
      </c>
      <c r="G8" s="8" t="s">
        <v>204</v>
      </c>
    </row>
    <row r="9" spans="1:7" ht="15" customHeight="1" x14ac:dyDescent="0.2">
      <c r="A9" s="15" t="s">
        <v>205</v>
      </c>
      <c r="B9" s="29">
        <f>ABS((Sensitivity!C14-Sensitivity!C13)-(FC_AMT*S0_in*STEP_FRAC))</f>
        <v>0</v>
      </c>
      <c r="C9" s="32">
        <v>0</v>
      </c>
      <c r="D9" s="32">
        <v>1</v>
      </c>
      <c r="E9" s="33" t="str">
        <f>IF(B9&lt;=D9,"PASS","FAIL")</f>
        <v>PASS</v>
      </c>
      <c r="F9" s="15" t="s">
        <v>206</v>
      </c>
      <c r="G9" s="8" t="s">
        <v>207</v>
      </c>
    </row>
    <row r="10" spans="1:7" ht="15" customHeight="1" x14ac:dyDescent="0.2">
      <c r="A10" s="15" t="s">
        <v>208</v>
      </c>
      <c r="B10" s="29">
        <f>ABS(Sensitivity!F18-USD_PUT_BASE)</f>
        <v>0</v>
      </c>
      <c r="C10" s="32">
        <v>0</v>
      </c>
      <c r="D10" s="32">
        <v>1</v>
      </c>
      <c r="E10" s="33" t="str">
        <f>IF(B10&lt;=D10,"PASS","FAIL")</f>
        <v>PASS</v>
      </c>
      <c r="F10" s="15" t="s">
        <v>209</v>
      </c>
      <c r="G10" s="8" t="s">
        <v>210</v>
      </c>
    </row>
    <row r="12" spans="1:7" ht="15" customHeight="1" x14ac:dyDescent="0.15">
      <c r="A12" s="4" t="s">
        <v>211</v>
      </c>
      <c r="B12" s="4"/>
      <c r="C12" s="4"/>
      <c r="D12" s="4"/>
      <c r="E12" s="4"/>
      <c r="F12" s="4"/>
      <c r="G12" s="4"/>
    </row>
    <row r="13" spans="1:7" ht="15" customHeight="1" x14ac:dyDescent="0.2">
      <c r="A13" s="1" t="s">
        <v>212</v>
      </c>
      <c r="B13" s="1"/>
      <c r="C13" s="1"/>
      <c r="D13" s="1"/>
      <c r="E13" s="1"/>
      <c r="F13" s="33" t="str">
        <f>IF(COUNTIF(E6:E10,"FAIL")=0,"PASS","FAIL")</f>
        <v>PASS</v>
      </c>
    </row>
  </sheetData>
  <mergeCells count="5">
    <mergeCell ref="A1:G1"/>
    <mergeCell ref="A2:G2"/>
    <mergeCell ref="A4:G4"/>
    <mergeCell ref="A12:G12"/>
    <mergeCell ref="A13:E1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showGridLines="0" tabSelected="1" zoomScaleNormal="100" workbookViewId="0">
      <selection sqref="A1:G1"/>
    </sheetView>
  </sheetViews>
  <sheetFormatPr baseColWidth="10" defaultColWidth="8.6640625" defaultRowHeight="13" x14ac:dyDescent="0.15"/>
  <cols>
    <col min="1" max="1" width="18" customWidth="1"/>
    <col min="2" max="2" width="25" customWidth="1"/>
    <col min="3" max="5" width="42" customWidth="1"/>
    <col min="6" max="6" width="38" customWidth="1"/>
    <col min="7" max="7" width="16" customWidth="1"/>
  </cols>
  <sheetData>
    <row r="1" spans="1:7" ht="27.75" customHeight="1" x14ac:dyDescent="0.15">
      <c r="A1" s="6" t="s">
        <v>213</v>
      </c>
      <c r="B1" s="6"/>
      <c r="C1" s="6"/>
      <c r="D1" s="6"/>
      <c r="E1" s="6"/>
      <c r="F1" s="6"/>
      <c r="G1" s="6"/>
    </row>
    <row r="2" spans="1:7" ht="21.75" customHeight="1" x14ac:dyDescent="0.15">
      <c r="A2" s="5" t="s">
        <v>214</v>
      </c>
      <c r="B2" s="5"/>
      <c r="C2" s="5"/>
      <c r="D2" s="5"/>
      <c r="E2" s="5"/>
      <c r="F2" s="5"/>
      <c r="G2" s="5"/>
    </row>
    <row r="4" spans="1:7" ht="15" customHeight="1" x14ac:dyDescent="0.15">
      <c r="A4" s="4" t="s">
        <v>215</v>
      </c>
      <c r="B4" s="4"/>
      <c r="C4" s="4"/>
      <c r="D4" s="4"/>
      <c r="E4" s="4"/>
      <c r="F4" s="4"/>
      <c r="G4" s="4"/>
    </row>
    <row r="5" spans="1:7" ht="15" customHeight="1" x14ac:dyDescent="0.15">
      <c r="A5" s="9" t="s">
        <v>216</v>
      </c>
      <c r="B5" s="9" t="s">
        <v>217</v>
      </c>
    </row>
    <row r="6" spans="1:7" ht="15" customHeight="1" x14ac:dyDescent="0.2">
      <c r="A6" t="s">
        <v>218</v>
      </c>
      <c r="B6" s="13" t="str">
        <f>Checks!F13</f>
        <v>PASS</v>
      </c>
    </row>
    <row r="7" spans="1:7" ht="15" customHeight="1" x14ac:dyDescent="0.2">
      <c r="A7" t="s">
        <v>134</v>
      </c>
      <c r="B7" s="13" t="str">
        <f>PARITY_CHECK</f>
        <v>PASS</v>
      </c>
    </row>
    <row r="9" spans="1:7" ht="15" customHeight="1" x14ac:dyDescent="0.15">
      <c r="A9" s="4" t="s">
        <v>219</v>
      </c>
      <c r="B9" s="4"/>
      <c r="C9" s="4"/>
      <c r="D9" s="4"/>
      <c r="E9" s="4"/>
      <c r="F9" s="4"/>
      <c r="G9" s="4"/>
    </row>
    <row r="10" spans="1:7" ht="15" customHeight="1" x14ac:dyDescent="0.15">
      <c r="A10" s="9" t="s">
        <v>220</v>
      </c>
      <c r="B10" s="9" t="s">
        <v>221</v>
      </c>
      <c r="C10" s="9" t="s">
        <v>222</v>
      </c>
      <c r="D10" s="9" t="s">
        <v>223</v>
      </c>
      <c r="E10" s="9" t="s">
        <v>224</v>
      </c>
      <c r="F10" s="9" t="s">
        <v>225</v>
      </c>
      <c r="G10" s="9" t="s">
        <v>194</v>
      </c>
    </row>
    <row r="11" spans="1:7" ht="55.5" customHeight="1" x14ac:dyDescent="0.15">
      <c r="A11" s="34">
        <v>1</v>
      </c>
      <c r="B11" s="35" t="s">
        <v>226</v>
      </c>
      <c r="C11" s="35" t="s">
        <v>227</v>
      </c>
      <c r="D11" s="35" t="s">
        <v>228</v>
      </c>
      <c r="E11" s="35" t="s">
        <v>229</v>
      </c>
      <c r="F11" s="35" t="s">
        <v>230</v>
      </c>
      <c r="G11" s="36" t="str">
        <f>Checks!F13</f>
        <v>PASS</v>
      </c>
    </row>
    <row r="12" spans="1:7" ht="55.5" customHeight="1" x14ac:dyDescent="0.15">
      <c r="A12" s="34">
        <v>2</v>
      </c>
      <c r="B12" s="35" t="s">
        <v>231</v>
      </c>
      <c r="C12" s="35" t="s">
        <v>232</v>
      </c>
      <c r="D12" s="35" t="s">
        <v>233</v>
      </c>
      <c r="E12" s="35" t="s">
        <v>234</v>
      </c>
      <c r="F12" s="35" t="s">
        <v>235</v>
      </c>
      <c r="G12" s="36" t="str">
        <f>Checks!F13</f>
        <v>PASS</v>
      </c>
    </row>
    <row r="13" spans="1:7" ht="55.5" customHeight="1" x14ac:dyDescent="0.15">
      <c r="A13" s="34">
        <v>3</v>
      </c>
      <c r="B13" s="35" t="s">
        <v>236</v>
      </c>
      <c r="C13" s="35" t="s">
        <v>237</v>
      </c>
      <c r="D13" s="35" t="s">
        <v>238</v>
      </c>
      <c r="E13" s="35" t="s">
        <v>239</v>
      </c>
      <c r="F13" s="35" t="s">
        <v>240</v>
      </c>
      <c r="G13" s="36" t="str">
        <f>Checks!F13</f>
        <v>PASS</v>
      </c>
    </row>
    <row r="14" spans="1:7" ht="55.5" customHeight="1" x14ac:dyDescent="0.15">
      <c r="A14" s="34">
        <v>4</v>
      </c>
      <c r="B14" s="35" t="s">
        <v>241</v>
      </c>
      <c r="C14" s="35" t="s">
        <v>242</v>
      </c>
      <c r="D14" s="35" t="s">
        <v>243</v>
      </c>
      <c r="E14" s="35" t="s">
        <v>244</v>
      </c>
      <c r="F14" s="35" t="s">
        <v>245</v>
      </c>
      <c r="G14" s="36" t="str">
        <f>Checks!F13</f>
        <v>PASS</v>
      </c>
    </row>
    <row r="15" spans="1:7" ht="55.5" customHeight="1" x14ac:dyDescent="0.15">
      <c r="A15" s="34">
        <v>5</v>
      </c>
      <c r="B15" s="35" t="s">
        <v>246</v>
      </c>
      <c r="C15" s="35" t="s">
        <v>247</v>
      </c>
      <c r="D15" s="35" t="s">
        <v>248</v>
      </c>
      <c r="E15" s="35" t="s">
        <v>249</v>
      </c>
      <c r="F15" s="35" t="s">
        <v>250</v>
      </c>
      <c r="G15" s="36" t="str">
        <f>Checks!F13</f>
        <v>PASS</v>
      </c>
    </row>
  </sheetData>
  <mergeCells count="4">
    <mergeCell ref="A1:G1"/>
    <mergeCell ref="A2:G2"/>
    <mergeCell ref="A4:G4"/>
    <mergeCell ref="A9:G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showGridLines="0" zoomScaleNormal="100" workbookViewId="0"/>
  </sheetViews>
  <sheetFormatPr baseColWidth="10" defaultColWidth="8.6640625" defaultRowHeight="13" x14ac:dyDescent="0.15"/>
  <cols>
    <col min="1" max="1" width="27" customWidth="1"/>
    <col min="2" max="2" width="78" customWidth="1"/>
  </cols>
  <sheetData>
    <row r="1" spans="1:2" ht="27.75" customHeight="1" x14ac:dyDescent="0.15">
      <c r="A1" s="6" t="s">
        <v>251</v>
      </c>
      <c r="B1" s="6"/>
    </row>
    <row r="2" spans="1:2" ht="21.75" customHeight="1" x14ac:dyDescent="0.15">
      <c r="A2" s="5" t="s">
        <v>252</v>
      </c>
      <c r="B2" s="5"/>
    </row>
    <row r="5" spans="1:2" ht="15" customHeight="1" x14ac:dyDescent="0.15">
      <c r="A5" s="9" t="s">
        <v>253</v>
      </c>
      <c r="B5" s="9" t="s">
        <v>254</v>
      </c>
    </row>
    <row r="6" spans="1:2" ht="42" customHeight="1" x14ac:dyDescent="0.15">
      <c r="A6" s="37" t="s">
        <v>255</v>
      </c>
      <c r="B6" s="35" t="s">
        <v>256</v>
      </c>
    </row>
    <row r="7" spans="1:2" ht="42" customHeight="1" x14ac:dyDescent="0.15">
      <c r="A7" s="37" t="s">
        <v>257</v>
      </c>
      <c r="B7" s="35" t="s">
        <v>258</v>
      </c>
    </row>
    <row r="8" spans="1:2" ht="42" customHeight="1" x14ac:dyDescent="0.15">
      <c r="A8" s="37" t="s">
        <v>259</v>
      </c>
      <c r="B8" s="35" t="s">
        <v>260</v>
      </c>
    </row>
    <row r="9" spans="1:2" ht="42" customHeight="1" x14ac:dyDescent="0.15">
      <c r="A9" s="37" t="s">
        <v>261</v>
      </c>
      <c r="B9" s="35" t="s">
        <v>262</v>
      </c>
    </row>
    <row r="10" spans="1:2" ht="42" customHeight="1" x14ac:dyDescent="0.15">
      <c r="A10" s="37" t="s">
        <v>263</v>
      </c>
      <c r="B10" s="35" t="s">
        <v>264</v>
      </c>
    </row>
    <row r="11" spans="1:2" ht="42" customHeight="1" x14ac:dyDescent="0.15">
      <c r="A11" s="37" t="s">
        <v>201</v>
      </c>
      <c r="B11" s="35" t="s">
        <v>265</v>
      </c>
    </row>
    <row r="12" spans="1:2" ht="42" customHeight="1" x14ac:dyDescent="0.15">
      <c r="A12" s="37" t="s">
        <v>266</v>
      </c>
      <c r="B12" s="35" t="s">
        <v>267</v>
      </c>
    </row>
  </sheetData>
  <mergeCells count="2">
    <mergeCell ref="A1:B1"/>
    <mergeCell ref="A2:B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32</vt:i4>
      </vt:variant>
    </vt:vector>
  </HeadingPairs>
  <TitlesOfParts>
    <vt:vector size="42" baseType="lpstr">
      <vt:lpstr>Cover</vt:lpstr>
      <vt:lpstr>Legend-Key</vt:lpstr>
      <vt:lpstr>Inputs</vt:lpstr>
      <vt:lpstr>Forward</vt:lpstr>
      <vt:lpstr>Money Market</vt:lpstr>
      <vt:lpstr>Options</vt:lpstr>
      <vt:lpstr>Sensitivity</vt:lpstr>
      <vt:lpstr>Checks</vt:lpstr>
      <vt:lpstr>Audit Summary</vt:lpstr>
      <vt:lpstr>Notes &amp; Assumptions</vt:lpstr>
      <vt:lpstr>BASIS_FC</vt:lpstr>
      <vt:lpstr>BASIS_USD</vt:lpstr>
      <vt:lpstr>DF_FC</vt:lpstr>
      <vt:lpstr>DF_USD</vt:lpstr>
      <vt:lpstr>EUR_BORROW</vt:lpstr>
      <vt:lpstr>F0_in</vt:lpstr>
      <vt:lpstr>FC_AMT</vt:lpstr>
      <vt:lpstr>FV_PREMIUM_CALL</vt:lpstr>
      <vt:lpstr>FV_PREMIUM_PUT</vt:lpstr>
      <vt:lpstr>GRID_MIN</vt:lpstr>
      <vt:lpstr>K_CALL</vt:lpstr>
      <vt:lpstr>K_PUT</vt:lpstr>
      <vt:lpstr>PARITY_CHECK</vt:lpstr>
      <vt:lpstr>PARITY_GAP</vt:lpstr>
      <vt:lpstr>PARITY_TOL</vt:lpstr>
      <vt:lpstr>PREM_CALL</vt:lpstr>
      <vt:lpstr>PREM_PUT</vt:lpstr>
      <vt:lpstr>PREMIUM_TOTAL_CALL</vt:lpstr>
      <vt:lpstr>PREMIUM_TOTAL_PUT</vt:lpstr>
      <vt:lpstr>PUT_PAYOFF</vt:lpstr>
      <vt:lpstr>R_FC</vt:lpstr>
      <vt:lpstr>R_USD</vt:lpstr>
      <vt:lpstr>S_T_BASE</vt:lpstr>
      <vt:lpstr>S0_in</vt:lpstr>
      <vt:lpstr>STEP_FRAC</vt:lpstr>
      <vt:lpstr>T_DAYS</vt:lpstr>
      <vt:lpstr>USD_FWD</vt:lpstr>
      <vt:lpstr>USD_MM</vt:lpstr>
      <vt:lpstr>USD_NO_HEDGE_BASE</vt:lpstr>
      <vt:lpstr>USD_PUT_BASE</vt:lpstr>
      <vt:lpstr>USD_PUT_FLOOR</vt:lpstr>
      <vt:lpstr>USD_TODAY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Kiley Gennerman</cp:lastModifiedBy>
  <cp:revision>2</cp:revision>
  <dcterms:created xsi:type="dcterms:W3CDTF">2026-08-02T16:38:39Z</dcterms:created>
  <dcterms:modified xsi:type="dcterms:W3CDTF">2026-08-02T16:42:30Z</dcterms:modified>
  <dc:language>en-US</dc:language>
</cp:coreProperties>
</file>